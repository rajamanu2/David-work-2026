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7ec5a527594897" /></Relationships>
</file>

<file path=xl/workbook.xml><?xml version="1.0" encoding="utf-8"?>
<x:workbook xmlns:x="http://schemas.openxmlformats.org/spreadsheetml/2006/main">
  <x:sheets>
    <x:sheet xmlns:r="http://schemas.openxmlformats.org/officeDocument/2006/relationships" name="Open Cases" sheetId="1" r:id="R3741ec133c79477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
    <x:numFmt numFmtId="202" formatCode="@"/>
  </x:numFmts>
  <x:fonts count="11">
    <x:font>
      <x:sz val="11"/>
      <x:name val="Carlito"/>
    </x:font>
    <x:font>
      <x:b/>
      <x:sz val="10"/>
      <x:color rgb="FFFFFFFF"/>
      <x:name val="Carlito"/>
    </x:font>
    <x:font>
      <x:b/>
      <x:sz val="18"/>
      <x:color rgb="FF0F766E"/>
      <x:name val="Carlito"/>
    </x:font>
    <x:font>
      <x:b/>
      <x:sz val="18"/>
      <x:color rgb="FF2563EB"/>
      <x:name val="Carlito"/>
    </x:font>
    <x:font>
      <x:b/>
      <x:sz val="18"/>
      <x:color rgb="FFEA580C"/>
      <x:name val="Carlito"/>
    </x:font>
    <x:font>
      <x:b/>
      <x:sz val="18"/>
      <x:color rgb="FFB45309"/>
      <x:name val="Carlito"/>
    </x:font>
    <x:font>
      <x:b/>
      <x:sz val="18"/>
      <x:color rgb="FF15803D"/>
      <x:name val="Carlito"/>
    </x:font>
    <x:font>
      <x:b/>
      <x:sz val="18"/>
      <x:color rgb="FFB91C1C"/>
      <x:name val="Carlito"/>
    </x:font>
    <x:font>
      <x:b/>
      <x:sz val="18"/>
      <x:color rgb="FFFFFFFF"/>
      <x:name val="Carlito"/>
    </x:font>
    <x:font>
      <x:i/>
      <x:sz val="10"/>
      <x:color rgb="FF334155"/>
      <x:name val="Carlito"/>
    </x:font>
    <x:font>
      <x:sz val="9"/>
      <x:color rgb="FF1F2937"/>
      <x:name val="Carlito"/>
    </x:font>
  </x:fonts>
  <x:fills count="12">
    <x:fill>
      <x:patternFill patternType="none"/>
    </x:fill>
    <x:fill>
      <x:patternFill patternType="gray125"/>
    </x:fill>
    <x:fill>
      <x:patternFill patternType="solid">
        <x:fgColor rgb="FF0F766E"/>
      </x:patternFill>
    </x:fill>
    <x:fill>
      <x:patternFill patternType="solid">
        <x:fgColor rgb="FFF8FAFC"/>
      </x:patternFill>
    </x:fill>
    <x:fill>
      <x:patternFill patternType="solid">
        <x:fgColor rgb="FF2563EB"/>
      </x:patternFill>
    </x:fill>
    <x:fill>
      <x:patternFill patternType="solid">
        <x:fgColor rgb="FFEA580C"/>
      </x:patternFill>
    </x:fill>
    <x:fill>
      <x:patternFill patternType="solid">
        <x:fgColor rgb="FFB45309"/>
      </x:patternFill>
    </x:fill>
    <x:fill>
      <x:patternFill patternType="solid">
        <x:fgColor rgb="FF15803D"/>
      </x:patternFill>
    </x:fill>
    <x:fill>
      <x:patternFill patternType="solid">
        <x:fgColor rgb="FFB91C1C"/>
      </x:patternFill>
    </x:fill>
    <x:fill>
      <x:patternFill patternType="solid">
        <x:fgColor rgb="FF14213D"/>
      </x:patternFill>
    </x:fill>
    <x:fill>
      <x:patternFill patternType="solid">
        <x:fgColor rgb="FFE8EEF7"/>
      </x:patternFill>
    </x:fill>
    <x:fill>
      <x:patternFill patternType="solid">
        <x:fgColor rgb="FF1E3A5F"/>
      </x:patternFill>
    </x:fill>
  </x:fills>
  <x:borders count="13">
    <x:border/>
    <x:border>
      <x:left style="thin">
        <x:color rgb="FF0F766E"/>
      </x:left>
      <x:top style="thin">
        <x:color rgb="FF0F766E"/>
      </x:top>
      <x:bottom style="thin">
        <x:color rgb="FF0F766E"/>
      </x:bottom>
    </x:border>
    <x:border>
      <x:right style="thin">
        <x:color rgb="FF0F766E"/>
      </x:right>
      <x:top style="thin">
        <x:color rgb="FF0F766E"/>
      </x:top>
      <x:bottom style="thin">
        <x:color rgb="FF0F766E"/>
      </x:bottom>
    </x:border>
    <x:border>
      <x:left style="thin">
        <x:color rgb="FF2563EB"/>
      </x:left>
      <x:top style="thin">
        <x:color rgb="FF2563EB"/>
      </x:top>
      <x:bottom style="thin">
        <x:color rgb="FF2563EB"/>
      </x:bottom>
    </x:border>
    <x:border>
      <x:right style="thin">
        <x:color rgb="FF2563EB"/>
      </x:right>
      <x:top style="thin">
        <x:color rgb="FF2563EB"/>
      </x:top>
      <x:bottom style="thin">
        <x:color rgb="FF2563EB"/>
      </x:bottom>
    </x:border>
    <x:border>
      <x:left style="thin">
        <x:color rgb="FFEA580C"/>
      </x:left>
      <x:top style="thin">
        <x:color rgb="FFEA580C"/>
      </x:top>
      <x:bottom style="thin">
        <x:color rgb="FFEA580C"/>
      </x:bottom>
    </x:border>
    <x:border>
      <x:right style="thin">
        <x:color rgb="FFEA580C"/>
      </x:right>
      <x:top style="thin">
        <x:color rgb="FFEA580C"/>
      </x:top>
      <x:bottom style="thin">
        <x:color rgb="FFEA580C"/>
      </x:bottom>
    </x:border>
    <x:border>
      <x:left style="thin">
        <x:color rgb="FFB45309"/>
      </x:left>
      <x:top style="thin">
        <x:color rgb="FFB45309"/>
      </x:top>
      <x:bottom style="thin">
        <x:color rgb="FFB45309"/>
      </x:bottom>
    </x:border>
    <x:border>
      <x:right style="thin">
        <x:color rgb="FFB45309"/>
      </x:right>
      <x:top style="thin">
        <x:color rgb="FFB45309"/>
      </x:top>
      <x:bottom style="thin">
        <x:color rgb="FFB45309"/>
      </x:bottom>
    </x:border>
    <x:border>
      <x:left style="thin">
        <x:color rgb="FF15803D"/>
      </x:left>
      <x:top style="thin">
        <x:color rgb="FF15803D"/>
      </x:top>
      <x:bottom style="thin">
        <x:color rgb="FF15803D"/>
      </x:bottom>
    </x:border>
    <x:border>
      <x:right style="thin">
        <x:color rgb="FF15803D"/>
      </x:right>
      <x:top style="thin">
        <x:color rgb="FF15803D"/>
      </x:top>
      <x:bottom style="thin">
        <x:color rgb="FF15803D"/>
      </x:bottom>
    </x:border>
    <x:border>
      <x:left style="thin">
        <x:color rgb="FFB91C1C"/>
      </x:left>
      <x:top style="thin">
        <x:color rgb="FFB91C1C"/>
      </x:top>
      <x:bottom style="thin">
        <x:color rgb="FFB91C1C"/>
      </x:bottom>
    </x:border>
    <x:border>
      <x:right style="thin">
        <x:color rgb="FFB91C1C"/>
      </x:right>
      <x:top style="thin">
        <x:color rgb="FFB91C1C"/>
      </x:top>
      <x:bottom style="thin">
        <x:color rgb="FFB91C1C"/>
      </x:bottom>
    </x:border>
  </x:borders>
  <x:cellStyleXfs count="1">
    <x:xf numFmtId="0" fontId="0" fillId="0" borderId="0"/>
  </x:cellStyleXfs>
  <x:cellXfs count="8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horizontal="center"/>
    </x:xf>
    <x:xf numFmtId="0" fontId="2" fillId="3" borderId="2"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2" xfId="0" applyNumberFormat="1" applyFont="1" applyFill="1" applyBorder="1" applyAlignment="1">
      <x:alignment horizontal="center" vertic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1" fillId="4" borderId="0" xfId="0" applyNumberFormat="1" applyFont="1" applyFill="1" applyBorder="1" applyAlignment="1">
      <x:alignment horizontal="center" vertical="center"/>
    </x:xf>
    <x:xf numFmtId="0" fontId="3" fillId="3" borderId="0" xfId="0" applyNumberFormat="1" applyFont="1" applyFill="1" applyBorder="1"/>
    <x:xf numFmtId="0" fontId="3" fillId="3" borderId="3" xfId="0" applyNumberFormat="1" applyFont="1" applyFill="1" applyBorder="1"/>
    <x:xf numFmtId="0" fontId="3" fillId="3" borderId="4" xfId="0" applyNumberFormat="1" applyFont="1" applyFill="1" applyBorder="1"/>
    <x:xf numFmtId="0" fontId="3" fillId="3" borderId="3" xfId="0" applyNumberFormat="1" applyFont="1" applyFill="1" applyBorder="1" applyAlignment="1">
      <x:alignment horizontal="center"/>
    </x:xf>
    <x:xf numFmtId="0" fontId="3" fillId="3" borderId="4" xfId="0" applyNumberFormat="1" applyFont="1" applyFill="1" applyBorder="1" applyAlignment="1">
      <x:alignment horizontal="center"/>
    </x:xf>
    <x:xf numFmtId="0" fontId="3" fillId="3" borderId="3" xfId="0" applyNumberFormat="1" applyFont="1" applyFill="1" applyBorder="1" applyAlignment="1">
      <x:alignment horizontal="center" vertical="center"/>
    </x:xf>
    <x:xf numFmtId="0" fontId="3" fillId="3" borderId="4" xfId="0" applyNumberFormat="1" applyFont="1" applyFill="1" applyBorder="1" applyAlignment="1">
      <x:alignment horizontal="center" vertic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4" fillId="3" borderId="0"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5" xfId="0" applyNumberFormat="1" applyFont="1" applyFill="1" applyBorder="1" applyAlignment="1">
      <x:alignment horizontal="center"/>
    </x:xf>
    <x:xf numFmtId="0" fontId="4" fillId="3" borderId="6" xfId="0" applyNumberFormat="1" applyFont="1" applyFill="1" applyBorder="1" applyAlignment="1">
      <x:alignment horizontal="center"/>
    </x:xf>
    <x:xf numFmtId="0" fontId="4" fillId="3" borderId="5" xfId="0" applyNumberFormat="1" applyFont="1" applyFill="1" applyBorder="1" applyAlignment="1">
      <x:alignment horizontal="center" vertical="center"/>
    </x:xf>
    <x:xf numFmtId="0" fontId="4" fillId="3" borderId="6" xfId="0" applyNumberFormat="1" applyFont="1" applyFill="1" applyBorder="1" applyAlignment="1">
      <x:alignment horizontal="center"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5" fillId="3" borderId="0" xfId="0" applyNumberFormat="1" applyFont="1" applyFill="1" applyBorder="1"/>
    <x:xf numFmtId="0" fontId="5" fillId="3" borderId="7" xfId="0" applyNumberFormat="1" applyFont="1" applyFill="1" applyBorder="1"/>
    <x:xf numFmtId="0" fontId="5" fillId="3" borderId="8" xfId="0" applyNumberFormat="1" applyFont="1" applyFill="1" applyBorder="1"/>
    <x:xf numFmtId="0" fontId="5" fillId="3" borderId="7" xfId="0" applyNumberFormat="1" applyFont="1" applyFill="1" applyBorder="1" applyAlignment="1">
      <x:alignment horizontal="center"/>
    </x:xf>
    <x:xf numFmtId="0" fontId="5" fillId="3" borderId="8" xfId="0" applyNumberFormat="1" applyFont="1" applyFill="1" applyBorder="1" applyAlignment="1">
      <x:alignment horizontal="center"/>
    </x:xf>
    <x:xf numFmtId="0" fontId="5" fillId="3" borderId="7" xfId="0" applyNumberFormat="1" applyFont="1" applyFill="1" applyBorder="1" applyAlignment="1">
      <x:alignment horizontal="center" vertical="center"/>
    </x:xf>
    <x:xf numFmtId="0" fontId="5" fillId="3" borderId="8" xfId="0" applyNumberFormat="1" applyFont="1" applyFill="1" applyBorder="1" applyAlignment="1">
      <x:alignment horizontal="center" vertic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horizontal="center"/>
    </x:xf>
    <x:xf numFmtId="0" fontId="1" fillId="7" borderId="0" xfId="0" applyNumberFormat="1" applyFont="1" applyFill="1" applyBorder="1" applyAlignment="1">
      <x:alignment horizontal="center" vertical="center"/>
    </x:xf>
    <x:xf numFmtId="0" fontId="6" fillId="3" borderId="0" xfId="0" applyNumberFormat="1" applyFont="1" applyFill="1" applyBorder="1"/>
    <x:xf numFmtId="0" fontId="6" fillId="3" borderId="9" xfId="0" applyNumberFormat="1" applyFont="1" applyFill="1" applyBorder="1"/>
    <x:xf numFmtId="0" fontId="6" fillId="3" borderId="10" xfId="0" applyNumberFormat="1" applyFont="1" applyFill="1" applyBorder="1"/>
    <x:xf numFmtId="0" fontId="6" fillId="3" borderId="9" xfId="0" applyNumberFormat="1" applyFont="1" applyFill="1" applyBorder="1" applyAlignment="1">
      <x:alignment horizontal="center"/>
    </x:xf>
    <x:xf numFmtId="0" fontId="6" fillId="3" borderId="10" xfId="0" applyNumberFormat="1" applyFont="1" applyFill="1" applyBorder="1" applyAlignment="1">
      <x:alignment horizontal="center"/>
    </x:xf>
    <x:xf numFmtId="0" fontId="6" fillId="3" borderId="9" xfId="0" applyNumberFormat="1" applyFont="1" applyFill="1" applyBorder="1" applyAlignment="1">
      <x:alignment horizontal="center" vertical="center"/>
    </x:xf>
    <x:xf numFmtId="0" fontId="6" fillId="3" borderId="10" xfId="0" applyNumberFormat="1" applyFont="1" applyFill="1" applyBorder="1" applyAlignment="1">
      <x:alignment horizontal="center" vertical="center"/>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horizontal="center"/>
    </x:xf>
    <x:xf numFmtId="0" fontId="1" fillId="8" borderId="0" xfId="0" applyNumberFormat="1" applyFont="1" applyFill="1" applyBorder="1" applyAlignment="1">
      <x:alignment horizontal="center" vertical="center"/>
    </x:xf>
    <x:xf numFmtId="0" fontId="7" fillId="3" borderId="0" xfId="0" applyNumberFormat="1" applyFont="1" applyFill="1" applyBorder="1"/>
    <x:xf numFmtId="0" fontId="7" fillId="3" borderId="11" xfId="0" applyNumberFormat="1" applyFont="1" applyFill="1" applyBorder="1"/>
    <x:xf numFmtId="0" fontId="7" fillId="3" borderId="12" xfId="0" applyNumberFormat="1" applyFont="1" applyFill="1" applyBorder="1"/>
    <x:xf numFmtId="0" fontId="7" fillId="3" borderId="11" xfId="0" applyNumberFormat="1" applyFont="1" applyFill="1" applyBorder="1" applyAlignment="1">
      <x:alignment horizontal="center"/>
    </x:xf>
    <x:xf numFmtId="0" fontId="7" fillId="3" borderId="12" xfId="0" applyNumberFormat="1" applyFont="1" applyFill="1" applyBorder="1" applyAlignment="1">
      <x:alignment horizontal="center"/>
    </x:xf>
    <x:xf numFmtId="0" fontId="7" fillId="3" borderId="11" xfId="0" applyNumberFormat="1" applyFont="1" applyFill="1" applyBorder="1" applyAlignment="1">
      <x:alignment horizontal="center" vertical="center"/>
    </x:xf>
    <x:xf numFmtId="0" fontId="7" fillId="3" borderId="12" xfId="0" applyNumberFormat="1" applyFont="1" applyFill="1" applyBorder="1" applyAlignment="1">
      <x:alignment horizontal="center"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horizontal="left"/>
    </x:xf>
    <x:xf numFmtId="0" fontId="8" fillId="9" borderId="0" xfId="0" applyNumberFormat="1" applyFont="1" applyFill="1" applyBorder="1" applyAlignment="1">
      <x:alignment horizontal="left" vertical="center"/>
    </x:xf>
    <x:xf numFmtId="0" fontId="0" fillId="10" borderId="0" xfId="0" applyNumberFormat="1" applyFont="1" applyFill="1" applyBorder="1"/>
    <x:xf numFmtId="0" fontId="9" fillId="10" borderId="0" xfId="0" applyNumberFormat="1" applyFont="1" applyFill="1" applyBorder="1"/>
    <x:xf numFmtId="0" fontId="9" fillId="10" borderId="0" xfId="0" applyNumberFormat="1" applyFont="1" applyFill="1" applyBorder="1" applyAlignment="1">
      <x:alignment horizontal="left"/>
    </x:xf>
    <x:xf numFmtId="0" fontId="9" fillId="10" borderId="0" xfId="0" applyNumberFormat="1" applyFont="1" applyFill="1" applyBorder="1" applyAlignment="1">
      <x:alignment horizontal="left" vertical="center"/>
    </x:xf>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10" fillId="0" borderId="0" xfId="0" applyNumberFormat="1" applyFont="1" applyFill="1" applyBorder="1"/>
    <x:xf numFmtId="0" fontId="10" fillId="0" borderId="0" xfId="0" applyNumberFormat="1" applyFont="1" applyFill="1" applyBorder="1" applyAlignment="1">
      <x:alignment vertical="top"/>
    </x:xf>
    <x:xf numFmtId="0" fontId="10" fillId="0" borderId="0" xfId="0" applyNumberFormat="1" applyFont="1" applyFill="1" applyBorder="1" applyAlignment="1">
      <x:alignment vertical="top" wrapText="1"/>
    </x:xf>
    <x:xf numFmtId="200" fontId="10" fillId="0" borderId="0" xfId="0" applyNumberFormat="1" applyFont="1" applyFill="1" applyBorder="1" applyAlignment="1">
      <x:alignment vertical="top"/>
    </x:xf>
    <x:xf numFmtId="201" fontId="10" fillId="0" borderId="0" xfId="0" applyNumberFormat="1" applyFont="1" applyFill="1" applyBorder="1" applyAlignment="1">
      <x:alignment vertical="top"/>
    </x:xf>
    <x:xf numFmtId="202" fontId="10" fillId="0" borderId="0" xfId="0" applyNumberFormat="1" applyFont="1" applyFill="1" applyBorder="1" applyAlignment="1">
      <x:alignment vertical="top"/>
    </x:xf>
  </x:cellXfs>
  <x:cellStyles count="1">
    <x:cellStyle name="Normal" xfId="0"/>
  </x:cellStyles>
  <x:dxfs count="6">
    <x:dxf>
      <x:font>
        <x:b/>
        <x:color rgb="FF1D4ED8"/>
      </x:font>
      <x:fill>
        <x:patternFill patternType="solid">
          <x:bgColor rgb="FFDBEAFE"/>
        </x:patternFill>
      </x:fill>
    </x:dxf>
    <x:dxf>
      <x:font>
        <x:b/>
        <x:color rgb="FFC2410C"/>
      </x:font>
      <x:fill>
        <x:patternFill patternType="solid">
          <x:bgColor rgb="FFFFEDD5"/>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B91C1C"/>
      </x:font>
      <x:fill>
        <x:patternFill patternType="solid">
          <x:bgColor rgb="FFFEE2E2"/>
        </x:patternFill>
      </x:fill>
    </x:dxf>
    <x:dxf>
      <x:font>
        <x:b/>
        <x:color rgb="FF9D174D"/>
      </x:font>
      <x:fill>
        <x:patternFill patternType="solid">
          <x:bgColor rgb="FFFCE7F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c1372e497bc42bc" /><Relationship Type="http://schemas.openxmlformats.org/officeDocument/2006/relationships/theme" Target="/xl/theme/theme1.xml" Id="Rb29537e338724147" /><Relationship Type="http://schemas.openxmlformats.org/officeDocument/2006/relationships/sharedStrings" Target="/xl/sharedStrings.xml" Id="R98b822bd18b74b9f" /><Relationship Type="http://schemas.openxmlformats.org/officeDocument/2006/relationships/worksheet" Target="/xl/worksheets/sheet1.xml" Id="R3741ec133c79477c" /></Relationships>
</file>

<file path=xl/tables/table1.xml><?xml version="1.0" encoding="utf-8"?>
<x:table xmlns:x="http://schemas.openxmlformats.org/spreadsheetml/2006/main" id="1" name="OpenCasesTable" displayName="OpenCasesTable" ref="A7:S123" headerRowCount="1" totalsRowCount="0" totalsRowShown="0">
  <x:autoFilter ref="A7:S123"/>
  <x:tableColumns count="19">
    <x:tableColumn id="1" name="Case Number"/>
    <x:tableColumn id="2" name="Subject"/>
    <x:tableColumn id="3" name="Status"/>
    <x:tableColumn id="4" name="Priority"/>
    <x:tableColumn id="5" name="Owner"/>
    <x:tableColumn id="6" name="Classification"/>
    <x:tableColumn id="7" name="Related Object"/>
    <x:tableColumn id="8" name="Workbook Theme"/>
    <x:tableColumn id="9" name="Workbook Status"/>
    <x:tableColumn id="10" name="Workbook Sheet"/>
    <x:tableColumn id="11" name="Workbook Assigned To"/>
    <x:tableColumn id="12" name="Created Date"/>
    <x:tableColumn id="13" name="Last Modified Date"/>
    <x:tableColumn id="14" name="History"/>
    <x:tableColumn id="15" name="Feed Posts"/>
    <x:tableColumn id="16" name="Feed Comments"/>
    <x:tableColumn id="17" name="Files"/>
    <x:tableColumn id="18" name="Review Flag"/>
    <x:tableColumn id="19"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bbcfbbc69443da"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40" hidden="0" customWidth="1"/>
    <x:col min="3" max="3" width="14" hidden="0" customWidth="1"/>
    <x:col min="4" max="4" width="10" hidden="0" customWidth="1"/>
    <x:col min="5" max="5" width="22" hidden="0" customWidth="1"/>
    <x:col min="6" max="6" width="29" hidden="0" customWidth="1"/>
    <x:col min="7" max="7" width="25" hidden="0" customWidth="1"/>
    <x:col min="8" max="8" width="38" hidden="0" customWidth="1"/>
    <x:col min="9" max="9" width="20" hidden="0" customWidth="1"/>
    <x:col min="10" max="10" width="25" hidden="0" customWidth="1"/>
    <x:col min="11" max="11" width="22" hidden="0" customWidth="1"/>
    <x:col min="12" max="12" width="19" hidden="0" customWidth="1"/>
    <x:col min="13" max="13" width="19" hidden="0" customWidth="1"/>
    <x:col min="14" max="14" width="10" hidden="0" customWidth="1"/>
    <x:col min="15" max="15" width="10" hidden="0" customWidth="1"/>
    <x:col min="16" max="16" width="12" hidden="0" customWidth="1"/>
    <x:col min="17" max="17" width="8" hidden="0" customWidth="1"/>
    <x:col min="18" max="18" width="31" hidden="0" customWidth="1"/>
    <x:col min="19" max="19" width="68" hidden="0" customWidth="1"/>
  </x:cols>
  <x:sheetData>
    <x:row r="1" ht="32" customHeight="1">
      <x:c r="A1" s="71" t="str">
        <x:v>Probo Medical — Open Production Cases</x:v>
      </x:c>
      <x:c r="B1" s="71"/>
      <x:c r="C1" s="71"/>
      <x:c r="D1" s="71"/>
      <x:c r="E1" s="71"/>
      <x:c r="F1" s="71"/>
      <x:c r="G1" s="71"/>
      <x:c r="H1" s="71"/>
      <x:c r="I1" s="71"/>
      <x:c r="J1" s="71"/>
      <x:c r="K1" s="71"/>
      <x:c r="L1" s="71"/>
      <x:c r="M1" s="71"/>
      <x:c r="N1" s="71"/>
      <x:c r="O1" s="71"/>
      <x:c r="P1" s="71"/>
      <x:c r="Q1" s="71"/>
      <x:c r="R1" s="71"/>
      <x:c r="S1" s="71"/>
    </x:row>
    <x:row r="2" ht="22" customHeight="1">
      <x:c r="A2" s="75" t="str">
        <x:v>Read-only production snapshot | ProboMedical | Generated 2026-08-31 | Source: verified Salesforce Case records</x:v>
      </x:c>
      <x:c r="B2" s="75"/>
      <x:c r="C2" s="75"/>
      <x:c r="D2" s="75"/>
      <x:c r="E2" s="75"/>
      <x:c r="F2" s="75"/>
      <x:c r="G2" s="75"/>
      <x:c r="H2" s="75"/>
      <x:c r="I2" s="75"/>
      <x:c r="J2" s="75"/>
      <x:c r="K2" s="75"/>
      <x:c r="L2" s="75"/>
      <x:c r="M2" s="75"/>
      <x:c r="N2" s="75"/>
      <x:c r="O2" s="75"/>
      <x:c r="P2" s="75"/>
      <x:c r="Q2" s="75"/>
      <x:c r="R2" s="75"/>
      <x:c r="S2" s="75"/>
    </x:row>
    <x:row r="4" ht="20" customHeight="1">
      <x:c r="A4" s="4" t="str">
        <x:v>Total Open</x:v>
      </x:c>
      <x:c r="B4" s="4"/>
      <x:c r="D4" s="16" t="str">
        <x:v>Claimed</x:v>
      </x:c>
      <x:c r="E4" s="16"/>
      <x:c r="G4" s="27" t="str">
        <x:v>New</x:v>
      </x:c>
      <x:c r="H4" s="27"/>
      <x:c r="J4" s="38" t="str">
        <x:v>On Hold</x:v>
      </x:c>
      <x:c r="K4" s="38"/>
      <x:c r="M4" s="49" t="str">
        <x:v>In Progress</x:v>
      </x:c>
      <x:c r="N4" s="49"/>
      <x:c r="P4" s="60" t="str">
        <x:v>High Priority</x:v>
      </x:c>
      <x:c r="Q4" s="60"/>
    </x:row>
    <x:row r="5" ht="28" customHeight="1">
      <x:c r="A5" s="11" t="n">
        <x:f>COUNTA(A8:A123)</x:f>
        <x:v>116</x:v>
      </x:c>
      <x:c r="B5" s="12"/>
      <x:c r="D5" s="22" t="n">
        <x:f>COUNTIF(C8:C123,"Claimed")</x:f>
        <x:v>77</x:v>
      </x:c>
      <x:c r="E5" s="23"/>
      <x:c r="G5" s="33" t="n">
        <x:f>COUNTIF(C8:C123,"New")</x:f>
        <x:v>15</x:v>
      </x:c>
      <x:c r="H5" s="34"/>
      <x:c r="J5" s="44" t="n">
        <x:f>COUNTIF(C8:C123,"On Hold")</x:f>
        <x:v>13</x:v>
      </x:c>
      <x:c r="K5" s="45"/>
      <x:c r="M5" s="55" t="n">
        <x:f>COUNTIF(C8:C123,"In progress")</x:f>
        <x:v>11</x:v>
      </x:c>
      <x:c r="N5" s="56"/>
      <x:c r="P5" s="66" t="n">
        <x:f>COUNTIF(D8:D123,"High")</x:f>
        <x:v>4</x:v>
      </x:c>
      <x:c r="Q5" s="67"/>
    </x:row>
    <x:row r="7" ht="34" customHeight="1">
      <x:c r="A7" s="79" t="str">
        <x:v>Case Number</x:v>
      </x:c>
      <x:c r="B7" s="79" t="str">
        <x:v>Subject</x:v>
      </x:c>
      <x:c r="C7" s="79" t="str">
        <x:v>Status</x:v>
      </x:c>
      <x:c r="D7" s="79" t="str">
        <x:v>Priority</x:v>
      </x:c>
      <x:c r="E7" s="79" t="str">
        <x:v>Owner</x:v>
      </x:c>
      <x:c r="F7" s="79" t="str">
        <x:v>Classification</x:v>
      </x:c>
      <x:c r="G7" s="79" t="str">
        <x:v>Related Object</x:v>
      </x:c>
      <x:c r="H7" s="79" t="str">
        <x:v>Workbook Theme</x:v>
      </x:c>
      <x:c r="I7" s="79" t="str">
        <x:v>Workbook Status</x:v>
      </x:c>
      <x:c r="J7" s="79" t="str">
        <x:v>Workbook Sheet</x:v>
      </x:c>
      <x:c r="K7" s="79" t="str">
        <x:v>Workbook Assigned To</x:v>
      </x:c>
      <x:c r="L7" s="79" t="str">
        <x:v>Created Date</x:v>
      </x:c>
      <x:c r="M7" s="79" t="str">
        <x:v>Last Modified Date</x:v>
      </x:c>
      <x:c r="N7" s="79" t="str">
        <x:v>History</x:v>
      </x:c>
      <x:c r="O7" s="79" t="str">
        <x:v>Feed Posts</x:v>
      </x:c>
      <x:c r="P7" s="79" t="str">
        <x:v>Feed Comments</x:v>
      </x:c>
      <x:c r="Q7" s="79" t="str">
        <x:v>Files</x:v>
      </x:c>
      <x:c r="R7" s="79" t="str">
        <x:v>Review Flag</x:v>
      </x:c>
      <x:c r="S7" s="79" t="str">
        <x:v>Description</x:v>
      </x:c>
    </x:row>
    <x:row r="8" ht="34" customHeight="1">
      <x:c r="A8" s="85" t="str">
        <x:v>00009472</x:v>
      </x:c>
      <x:c r="B8" s="82" t="str">
        <x:v>Request for more access</x:v>
      </x:c>
      <x:c r="C8" s="81" t="str">
        <x:v>Claimed</x:v>
      </x:c>
      <x:c r="D8" s="81" t="str">
        <x:v>Medium</x:v>
      </x:c>
      <x:c r="E8" s="81" t="str">
        <x:v>Lauren Fitzgerald</x:v>
      </x:c>
      <x:c r="F8" s="81" t="str">
        <x:v>Other</x:v>
      </x:c>
      <x:c r="G8" s="81" t="str">
        <x:v>User</x:v>
      </x:c>
      <x:c r="H8" s="82" t="str">
        <x:v>Validation Rules/Access</x:v>
      </x:c>
      <x:c r="I8" s="82" t="str">
        <x:v>?</x:v>
      </x:c>
      <x:c r="J8" s="82" t="str">
        <x:v>Errors &amp; Just do its</x:v>
      </x:c>
      <x:c r="K8" s="82" t="str">
        <x:v>Lisa Litviak</x:v>
      </x:c>
      <x:c r="L8" s="83" t="n">
        <x:v>46036.0555787037</x:v>
      </x:c>
      <x:c r="M8" s="83" t="n">
        <x:v>46108.10560185185</x:v>
      </x:c>
      <x:c r="N8" s="84" t="n">
        <x:v>2</x:v>
      </x:c>
      <x:c r="O8" s="84" t="n">
        <x:v>1</x:v>
      </x:c>
      <x:c r="P8" s="84" t="n">
        <x:v>0</x:v>
      </x:c>
      <x:c r="Q8" s="84" t="n">
        <x:v>0</x:v>
      </x:c>
      <x:c r="R8" s="82" t="str">
        <x:f>IF(J8="Complete","Review - workbook says Complete","Active backlog")</x:f>
        <x:v>Active backlog</x:v>
      </x:c>
      <x:c r="S8" s="82" t="str">
        <x:v>Hi, I need a higher level of access within Salesforce. I would like to be able to see the pandadoc section on opps within salesforce ( I have direct pandadoc access) and I will need to be able to import leads from trade shows in the near future. Also, I would like to be able to add lead source and trade show lead source options myself for marketing, if possible so it would be nice to have access to edit objects. I would also like to be able to see the lead flows and lead assignment rules in case issues arise in the future. I would not make edits, of course, without discussing with whoever all is involved in those changes but I would at least like to be able to see how things operate because I am an admin on our websites and in Pardot and sometimes issues happen that would be helpful for me to have more access in Salesforce as well. 
Thank you!
-Lauren</x:v>
      </x:c>
    </x:row>
    <x:row r="9" ht="34" customHeight="1">
      <x:c r="A9" s="85" t="str">
        <x:v>00009489</x:v>
      </x:c>
      <x:c r="B9" s="82" t="str">
        <x:v>Sold items appearing in inventory</x:v>
      </x:c>
      <x:c r="C9" s="81" t="str">
        <x:v>Claimed</x:v>
      </x:c>
      <x:c r="D9" s="81" t="str">
        <x:v>Medium</x:v>
      </x:c>
      <x:c r="E9" s="81" t="str">
        <x:v>Josh Sutton</x:v>
      </x:c>
      <x:c r="F9" s="81" t="str">
        <x:v>Administrative (Reports &amp; Dashboards)</x:v>
      </x:c>
      <x:c r="G9" s="81" t="str">
        <x:v>Asset2</x:v>
      </x:c>
      <x:c r="H9" s="82" t="str">
        <x:v>BUG</x:v>
      </x:c>
      <x:c r="I9" s="82" t="str">
        <x:v>N/A</x:v>
      </x:c>
      <x:c r="J9" s="82" t="str">
        <x:v>Errors &amp; Just do its</x:v>
      </x:c>
      <x:c r="K9" s="82" t="str">
        <x:v>Natalie Boger</x:v>
      </x:c>
      <x:c r="L9" s="83" t="n">
        <x:v>46038.75814814815</x:v>
      </x:c>
      <x:c r="M9" s="83" t="n">
        <x:v>46245.296423611115</x:v>
      </x:c>
      <x:c r="N9" s="84" t="n">
        <x:v>2</x:v>
      </x:c>
      <x:c r="O9" s="84" t="n">
        <x:v>1</x:v>
      </x:c>
      <x:c r="P9" s="84" t="n">
        <x:v>0</x:v>
      </x:c>
      <x:c r="Q9" s="84" t="n">
        <x:v>0</x:v>
      </x:c>
      <x:c r="R9" s="82" t="str">
        <x:f>IF(J9="Complete","Review - workbook says Complete","Active backlog")</x:f>
        <x:v>Active backlog</x:v>
      </x:c>
      <x:c r="S9" s="82" t="str">
        <x:v>Sold items appearing in inventory</x:v>
      </x:c>
    </x:row>
    <x:row r="10" ht="34" customHeight="1">
      <x:c r="A10" s="85" t="str">
        <x:v>00009514</x:v>
      </x:c>
      <x:c r="B10" s="82" t="str">
        <x:v>Auto designating assets</x:v>
      </x:c>
      <x:c r="C10" s="81" t="str">
        <x:v>Claimed</x:v>
      </x:c>
      <x:c r="D10" s="81" t="str">
        <x:v>Medium</x:v>
      </x:c>
      <x:c r="E10" s="81" t="str">
        <x:v>Darren Stokes</x:v>
      </x:c>
      <x:c r="F10" s="81" t="str">
        <x:v>Salesforce Improvement</x:v>
      </x:c>
      <x:c r="G10" s="81" t="str">
        <x:v>Opportunity</x:v>
      </x:c>
      <x:c r="H10" s="82" t="str">
        <x:v>New/Edit Workflows</x:v>
      </x:c>
      <x:c r="I10" s="82" t="str">
        <x:v>Not Yet Started</x:v>
      </x:c>
      <x:c r="J10" s="82" t="str">
        <x:v>Projects (Major and Minor)</x:v>
      </x:c>
      <x:c r="K10" s="82" t="str">
        <x:v>Mindy Bender</x:v>
      </x:c>
      <x:c r="L10" s="83" t="n">
        <x:v>46043.890081018515</x:v>
      </x:c>
      <x:c r="M10" s="83" t="n">
        <x:v>46214.019155092596</x:v>
      </x:c>
      <x:c r="N10" s="84" t="n">
        <x:v>3</x:v>
      </x:c>
      <x:c r="O10" s="84" t="n">
        <x:v>2</x:v>
      </x:c>
      <x:c r="P10" s="84" t="n">
        <x:v>0</x:v>
      </x:c>
      <x:c r="Q10" s="84" t="n">
        <x:v>0</x:v>
      </x:c>
      <x:c r="R10" s="82" t="str">
        <x:f>IF(J10="Complete","Review - workbook says Complete","Active backlog")</x:f>
        <x:v>Active backlog</x:v>
      </x:c>
      <x:c r="S10" s="82" t="str">
        <x:v>Can we please change all big iron purchases and ultrasound system purchases from designated for "Sales" to either "Undesignated" or blank</x:v>
      </x:c>
    </x:row>
    <x:row r="11" ht="34" customHeight="1">
      <x:c r="A11" s="85" t="str">
        <x:v>00009534</x:v>
      </x:c>
      <x:c r="B11" s="82" t="str">
        <x:v>Material Transfer Un-reserves Asset</x:v>
      </x:c>
      <x:c r="C11" s="81" t="str">
        <x:v>Claimed</x:v>
      </x:c>
      <x:c r="D11" s="81" t="str">
        <x:v>Medium</x:v>
      </x:c>
      <x:c r="E11" s="81" t="str">
        <x:v>Dustin Newton</x:v>
      </x:c>
      <x:c r="F11" s="81" t="str">
        <x:v>Salesforce Improvement</x:v>
      </x:c>
      <x:c r="G11" s="81" t="str">
        <x:v>Asset2</x:v>
      </x:c>
      <x:c r="H11" s="82" t="str">
        <x:v>BUG</x:v>
      </x:c>
      <x:c r="I11" s="82" t="str">
        <x:v>?</x:v>
      </x:c>
      <x:c r="J11" s="82" t="str">
        <x:v>Errors &amp; Just do its</x:v>
      </x:c>
      <x:c r="K11" s="82" t="str">
        <x:v>Sacha Pearce</x:v>
      </x:c>
      <x:c r="L11" s="83" t="n">
        <x:v>46049.98569444445</x:v>
      </x:c>
      <x:c r="M11" s="83" t="n">
        <x:v>46108.122152777774</x:v>
      </x:c>
      <x:c r="N11" s="84" t="n">
        <x:v>2</x:v>
      </x:c>
      <x:c r="O11" s="84" t="n">
        <x:v>1</x:v>
      </x:c>
      <x:c r="P11" s="84" t="n">
        <x:v>0</x:v>
      </x:c>
      <x:c r="Q11" s="84" t="n">
        <x:v>0</x:v>
      </x:c>
      <x:c r="R11" s="82" t="str">
        <x:f>IF(J11="Complete","Review - workbook says Complete","Active backlog")</x:f>
        <x:v>Active backlog</x:v>
      </x:c>
      <x:c r="S11" s="82" t="str">
        <x:v>The new Material Transfer record type that was created has one change from the previous. When the assets are received at the destination location they are being unreserved and it looks as though the assets are available. We noticed this on system opps where the probe assets need to stay reserved which is how it was set up on the inter-company transfers.</x:v>
      </x:c>
    </x:row>
    <x:row r="12" ht="34" customHeight="1">
      <x:c r="A12" s="85" t="str">
        <x:v>00009536</x:v>
      </x:c>
      <x:c r="B12" s="82" t="str">
        <x:v>Quality Alerts</x:v>
      </x:c>
      <x:c r="C12" s="81" t="str">
        <x:v>Claimed</x:v>
      </x:c>
      <x:c r="D12" s="81" t="str">
        <x:v>Medium</x:v>
      </x:c>
      <x:c r="E12" s="81" t="str">
        <x:v>Jennifer Armstrong</x:v>
      </x:c>
      <x:c r="F12" s="81" t="str">
        <x:v>Salesforce Improvement</x:v>
      </x:c>
      <x:c r="G12" s="81" t="str">
        <x:v>Opportunity</x:v>
      </x:c>
      <x:c r="H12" s="82" t="str">
        <x:v>New Objects, New/Edit Workflows, New/Edit Fields</x:v>
      </x:c>
      <x:c r="I12" s="82" t="str">
        <x:v>Not Yet Started</x:v>
      </x:c>
      <x:c r="J12" s="82" t="str">
        <x:v>Projects (Major and Minor)</x:v>
      </x:c>
      <x:c r="K12" s="82" t="str">
        <x:v>Mindy Bender</x:v>
      </x:c>
      <x:c r="L12" s="83" t="n">
        <x:v>46050.04016203704</x:v>
      </x:c>
      <x:c r="M12" s="83" t="n">
        <x:v>46214.019155092596</x:v>
      </x:c>
      <x:c r="N12" s="84" t="n">
        <x:v>3</x:v>
      </x:c>
      <x:c r="O12" s="84" t="n">
        <x:v>2</x:v>
      </x:c>
      <x:c r="P12" s="84" t="n">
        <x:v>0</x:v>
      </x:c>
      <x:c r="Q12" s="84" t="n">
        <x:v>0</x:v>
      </x:c>
      <x:c r="R12" s="82" t="str">
        <x:f>IF(J12="Complete","Review - workbook says Complete","Active backlog")</x:f>
        <x:v>Active backlog</x:v>
      </x:c>
      <x:c r="S12" s="82" t="str">
        <x:v>to be able to send recalls/corrections/end of life emails to customers through SF</x:v>
      </x:c>
    </x:row>
    <x:row r="13" ht="34" customHeight="1">
      <x:c r="A13" s="85" t="str">
        <x:v>00009542</x:v>
      </x:c>
      <x:c r="B13" s="82" t="str">
        <x:v>Confirmation lines</x:v>
      </x:c>
      <x:c r="C13" s="81" t="str">
        <x:v>Claimed</x:v>
      </x:c>
      <x:c r="D13" s="81" t="str">
        <x:v>Medium</x:v>
      </x:c>
      <x:c r="E13" s="81" t="str">
        <x:v>Kaley Ehrig</x:v>
      </x:c>
      <x:c r="F13" s="81" t="str">
        <x:v>Other</x:v>
      </x:c>
      <x:c r="G13" s="81" t="str">
        <x:v>Permission(s)/Permission Set</x:v>
      </x:c>
      <x:c r="H13" s="82" t="str">
        <x:v>Validation Rules/Access</x:v>
      </x:c>
      <x:c r="I13" s="82" t="str">
        <x:v>?</x:v>
      </x:c>
      <x:c r="J13" s="82" t="str">
        <x:v>Errors &amp; Just do its</x:v>
      </x:c>
      <x:c r="K13" s="82" t="str">
        <x:v>Lisa Litviak</x:v>
      </x:c>
      <x:c r="L13" s="83" t="n">
        <x:v>46051.01322916667</x:v>
      </x:c>
      <x:c r="M13" s="83" t="n">
        <x:v>46108.10445601852</x:v>
      </x:c>
      <x:c r="N13" s="84" t="n">
        <x:v>2</x:v>
      </x:c>
      <x:c r="O13" s="84" t="n">
        <x:v>1</x:v>
      </x:c>
      <x:c r="P13" s="84" t="n">
        <x:v>0</x:v>
      </x:c>
      <x:c r="Q13" s="84" t="n">
        <x:v>0</x:v>
      </x:c>
      <x:c r="R13" s="82" t="str">
        <x:f>IF(J13="Complete","Review - workbook says Complete","Active backlog")</x:f>
        <x:v>Active backlog</x:v>
      </x:c>
      <x:c r="S13" s="82" t="str">
        <x:v>Needing to be able to add confirmation lines for online orders</x:v>
      </x:c>
    </x:row>
    <x:row r="14" ht="34" customHeight="1">
      <x:c r="A14" s="85" t="str">
        <x:v>00009580</x:v>
      </x:c>
      <x:c r="B14" s="82" t="str">
        <x:v>Ability to see shipment price once ships</x:v>
      </x:c>
      <x:c r="C14" s="81" t="str">
        <x:v>Claimed</x:v>
      </x:c>
      <x:c r="D14" s="81" t="str">
        <x:v>Medium</x:v>
      </x:c>
      <x:c r="E14" s="81" t="str">
        <x:v>Justin Wilson</x:v>
      </x:c>
      <x:c r="F14" s="81" t="str">
        <x:v>Salesforce Improvement</x:v>
      </x:c>
      <x:c r="G14" s="81" t="str">
        <x:v>OTHER</x:v>
      </x:c>
      <x:c r="H14" s="82" t="str">
        <x:v>New/Edit Workflows, New/Edit Fields</x:v>
      </x:c>
      <x:c r="I14" s="82" t="str">
        <x:v>Not Yet Started</x:v>
      </x:c>
      <x:c r="J14" s="82" t="str">
        <x:v>Projects (Major and Minor)</x:v>
      </x:c>
      <x:c r="K14" s="82" t="str">
        <x:v>Mindy Bender</x:v>
      </x:c>
      <x:c r="L14" s="83" t="n">
        <x:v>46058.08314814815</x:v>
      </x:c>
      <x:c r="M14" s="83" t="n">
        <x:v>46214.019155092596</x:v>
      </x:c>
      <x:c r="N14" s="84" t="n">
        <x:v>3</x:v>
      </x:c>
      <x:c r="O14" s="84" t="n">
        <x:v>2</x:v>
      </x:c>
      <x:c r="P14" s="84" t="n">
        <x:v>0</x:v>
      </x:c>
      <x:c r="Q14" s="84" t="n">
        <x:v>0</x:v>
      </x:c>
      <x:c r="R14" s="82" t="str">
        <x:f>IF(J14="Complete","Review - workbook says Complete","Active backlog")</x:f>
        <x:v>Active backlog</x:v>
      </x:c>
      <x:c r="S14" s="82" t="str">
        <x:v>Zenkraft is tied to salesforce for quoting, need to know if when we ship it the tracking and price is pullled from carrier website to salesforce</x:v>
      </x:c>
    </x:row>
    <x:row r="15" ht="34" customHeight="1">
      <x:c r="A15" s="85" t="str">
        <x:v>00009584</x:v>
      </x:c>
      <x:c r="B15" s="82" t="str">
        <x:v>Pricing request fulfilment emails</x:v>
      </x:c>
      <x:c r="C15" s="81" t="str">
        <x:v>Claimed</x:v>
      </x:c>
      <x:c r="D15" s="81" t="str">
        <x:v>Medium</x:v>
      </x:c>
      <x:c r="E15" s="81" t="str">
        <x:v>Katy Base</x:v>
      </x:c>
      <x:c r="F15" s="81" t="str">
        <x:v>Other</x:v>
      </x:c>
      <x:c r="G15" s="81" t="str">
        <x:v>OTHER</x:v>
      </x:c>
      <x:c r="H15" s="82" t="str">
        <x:v>Email Alerts</x:v>
      </x:c>
      <x:c r="I15" s="82" t="str">
        <x:v>Design</x:v>
      </x:c>
      <x:c r="J15" s="82" t="str">
        <x:v>Projects (Major and Minor)</x:v>
      </x:c>
      <x:c r="K15" s="82" t="str">
        <x:v>Mindy Bender</x:v>
      </x:c>
      <x:c r="L15" s="83" t="n">
        <x:v>46058.625023148146</x:v>
      </x:c>
      <x:c r="M15" s="83" t="n">
        <x:v>46214.01802083333</x:v>
      </x:c>
      <x:c r="N15" s="84" t="n">
        <x:v>3</x:v>
      </x:c>
      <x:c r="O15" s="84" t="n">
        <x:v>2</x:v>
      </x:c>
      <x:c r="P15" s="84" t="n">
        <x:v>0</x:v>
      </x:c>
      <x:c r="Q15" s="84" t="n">
        <x:v>0</x:v>
      </x:c>
      <x:c r="R15" s="82" t="str">
        <x:f>IF(J15="Complete","Review - workbook says Complete","Active backlog")</x:f>
        <x:v>Active backlog</x:v>
      </x:c>
      <x:c r="S15" s="82" t="str">
        <x:v>When a pricing/sourcing request is fulfilled by parts dept, an automated email goes to the Ultrasound coordinators inbox., however we seem to get them for a lot of things we haven't requested, such as requests from Probo France.</x:v>
      </x:c>
    </x:row>
    <x:row r="16" ht="34" customHeight="1">
      <x:c r="A16" s="85" t="str">
        <x:v>00009597</x:v>
      </x:c>
      <x:c r="B16" s="82" t="str">
        <x:v>Stop people being able to close win an inventory purchase opp without an item receipt</x:v>
      </x:c>
      <x:c r="C16" s="81" t="str">
        <x:v>Claimed</x:v>
      </x:c>
      <x:c r="D16" s="81" t="str">
        <x:v>Medium</x:v>
      </x:c>
      <x:c r="E16" s="81" t="str">
        <x:v>James Bevan-Jones</x:v>
      </x:c>
      <x:c r="F16" s="81" t="str">
        <x:v>Salesforce Improvement</x:v>
      </x:c>
      <x:c r="G16" s="81" t="str">
        <x:v>Opportunity</x:v>
      </x:c>
      <x:c r="H16" s="82" t="str">
        <x:v>New/Edit Workflows, Validation Rules/Access</x:v>
      </x:c>
      <x:c r="I16" s="82" t="str">
        <x:v>Requirement Gathering</x:v>
      </x:c>
      <x:c r="J16" s="82" t="str">
        <x:v>Projects (Major and Minor)</x:v>
      </x:c>
      <x:c r="K16" s="82" t="str">
        <x:v>Mindy Bender</x:v>
      </x:c>
      <x:c r="L16" s="83" t="n">
        <x:v>46062.94105324074</x:v>
      </x:c>
      <x:c r="M16" s="83" t="n">
        <x:v>46214.019155092596</x:v>
      </x:c>
      <x:c r="N16" s="84" t="n">
        <x:v>3</x:v>
      </x:c>
      <x:c r="O16" s="84" t="n">
        <x:v>2</x:v>
      </x:c>
      <x:c r="P16" s="84" t="n">
        <x:v>0</x:v>
      </x:c>
      <x:c r="Q16" s="84" t="n">
        <x:v>0</x:v>
      </x:c>
      <x:c r="R16" s="82" t="str">
        <x:f>IF(J16="Complete","Review - workbook says Complete","Active backlog")</x:f>
        <x:v>Active backlog</x:v>
      </x:c>
      <x:c r="S16" s="82" t="str">
        <x:v>Stop people being able to close win an inventory purchase opp (sourcing or inventory purchases) without an item receipt. All inventory opps should be item receipted as this is what gives assets their cost</x:v>
      </x:c>
    </x:row>
    <x:row r="17" ht="34" customHeight="1">
      <x:c r="A17" s="85" t="str">
        <x:v>00009624</x:v>
      </x:c>
      <x:c r="B17" s="82" t="str">
        <x:v>work order</x:v>
      </x:c>
      <x:c r="C17" s="81" t="str">
        <x:v>Claimed</x:v>
      </x:c>
      <x:c r="D17" s="81" t="str">
        <x:v>Medium</x:v>
      </x:c>
      <x:c r="E17" s="81" t="str">
        <x:v>Terry Mascia</x:v>
      </x:c>
      <x:c r="F17" s="81" t="str">
        <x:v>Salesforce Improvement</x:v>
      </x:c>
      <x:c r="G17" s="81" t="str">
        <x:v>Work Order</x:v>
      </x:c>
      <x:c r="H17" s="82" t="str">
        <x:v>New Record Types</x:v>
      </x:c>
      <x:c r="I17" s="82" t="str">
        <x:v>Requirement Gathering</x:v>
      </x:c>
      <x:c r="J17" s="82" t="str">
        <x:v>Projects (Major and Minor)</x:v>
      </x:c>
      <x:c r="K17" s="82" t="str">
        <x:v>Mindy Bender</x:v>
      </x:c>
      <x:c r="L17" s="83" t="n">
        <x:v>46065.95664351852</x:v>
      </x:c>
      <x:c r="M17" s="83" t="n">
        <x:v>46214.019155092596</x:v>
      </x:c>
      <x:c r="N17" s="84" t="n">
        <x:v>3</x:v>
      </x:c>
      <x:c r="O17" s="84" t="n">
        <x:v>2</x:v>
      </x:c>
      <x:c r="P17" s="84" t="n">
        <x:v>0</x:v>
      </x:c>
      <x:c r="Q17" s="84" t="n">
        <x:v>0</x:v>
      </x:c>
      <x:c r="R17" s="82" t="str">
        <x:f>IF(J17="Complete","Review - workbook says Complete","Active backlog")</x:f>
        <x:v>Active backlog</x:v>
      </x:c>
      <x:c r="S17" s="82" t="str">
        <x:v>Rental Work Order</x:v>
      </x:c>
    </x:row>
    <x:row r="18" ht="34" customHeight="1">
      <x:c r="A18" s="85" t="str">
        <x:v>00009684</x:v>
      </x:c>
      <x:c r="B18" s="82" t="str">
        <x:v>Re: The shipping tab is not showing on opp</x:v>
      </x:c>
      <x:c r="C18" s="81" t="str">
        <x:v>Claimed</x:v>
      </x:c>
      <x:c r="D18" s="81" t="str">
        <x:v>Medium</x:v>
      </x:c>
      <x:c r="E18" s="81" t="str">
        <x:v>Immanuel DeCastro</x:v>
      </x:c>
      <x:c r="F18" s="81" t="str">
        <x:v>Other</x:v>
      </x:c>
      <x:c r="G18" s="81" t="str">
        <x:v>Opportunity</x:v>
      </x:c>
      <x:c r="H18" s="82" t="str">
        <x:v>BUG</x:v>
      </x:c>
      <x:c r="I18" s="82" t="str">
        <x:v>?</x:v>
      </x:c>
      <x:c r="J18" s="82" t="str">
        <x:v>Errors &amp; Just do its</x:v>
      </x:c>
      <x:c r="K18" s="82" t="str">
        <x:v>Lisa Litviak</x:v>
      </x:c>
      <x:c r="L18" s="83" t="n">
        <x:v>46079.03302083333</x:v>
      </x:c>
      <x:c r="M18" s="83" t="n">
        <x:v>46108.104050925926</x:v>
      </x:c>
      <x:c r="N18" s="84" t="n">
        <x:v>2</x:v>
      </x:c>
      <x:c r="O18" s="84" t="n">
        <x:v>1</x:v>
      </x:c>
      <x:c r="P18" s="84" t="n">
        <x:v>1</x:v>
      </x:c>
      <x:c r="Q18" s="84" t="n">
        <x:v>0</x:v>
      </x:c>
      <x:c r="R18" s="82" t="str">
        <x:f>IF(J18="Complete","Review - workbook says Complete","Active backlog")</x:f>
        <x:v>Active backlog</x:v>
      </x:c>
      <x:c r="S18" s="82" t="str">
        <x:v>We cannot ship from opps because no shipping field/drop down shows under any opp for several users.</x:v>
      </x:c>
    </x:row>
    <x:row r="19" ht="34" customHeight="1">
      <x:c r="A19" s="85" t="str">
        <x:v>00009704</x:v>
      </x:c>
      <x:c r="B19" s="82" t="str">
        <x:v>00061816 reopened when RMA completed in stores</x:v>
      </x:c>
      <x:c r="C19" s="81" t="str">
        <x:v>Claimed</x:v>
      </x:c>
      <x:c r="D19" s="81" t="str">
        <x:v>High</x:v>
      </x:c>
      <x:c r="E19" s="81" t="str">
        <x:v>Tom Meredith</x:v>
      </x:c>
      <x:c r="F19" s="81" t="str">
        <x:v>Salesforce Error</x:v>
      </x:c>
      <x:c r="G19" s="81" t="str">
        <x:v>Work Order</x:v>
      </x:c>
      <x:c r="H19" s="82" t="str">
        <x:v>BUG</x:v>
      </x:c>
      <x:c r="I19" s="82" t="str">
        <x:v>?</x:v>
      </x:c>
      <x:c r="J19" s="82" t="str">
        <x:v>Errors &amp; Just do its</x:v>
      </x:c>
      <x:c r="K19" s="82" t="str">
        <x:v>Sacha Pearce</x:v>
      </x:c>
      <x:c r="L19" s="83" t="n">
        <x:v>46083.6596412037</x:v>
      </x:c>
      <x:c r="M19" s="83" t="n">
        <x:v>46108.11615740741</x:v>
      </x:c>
      <x:c r="N19" s="84" t="n">
        <x:v>3</x:v>
      </x:c>
      <x:c r="O19" s="84" t="n">
        <x:v>2</x:v>
      </x:c>
      <x:c r="P19" s="84" t="n">
        <x:v>0</x:v>
      </x:c>
      <x:c r="Q19" s="84" t="n">
        <x:v>0</x:v>
      </x:c>
      <x:c r="R19" s="82" t="str">
        <x:f>IF(J19="Complete","Review - workbook says Complete","Active backlog")</x:f>
        <x:v>Active backlog</x:v>
      </x:c>
      <x:c r="S19" s="82" t="str">
        <x:v>Previously set WO to completed but has since been re-opened at the same time as RMA being Warranty Claim completed. This should not happen.</x:v>
      </x:c>
    </x:row>
    <x:row r="20" ht="34" customHeight="1">
      <x:c r="A20" s="85" t="str">
        <x:v>00009797</x:v>
      </x:c>
      <x:c r="B20" s="82" t="str">
        <x:v>Update Cycle Count Dates</x:v>
      </x:c>
      <x:c r="C20" s="81" t="str">
        <x:v>Claimed</x:v>
      </x:c>
      <x:c r="D20" s="81" t="str">
        <x:v>Medium</x:v>
      </x:c>
      <x:c r="E20" s="81" t="str">
        <x:v>Blake Nielsen</x:v>
      </x:c>
      <x:c r="F20" s="81" t="str">
        <x:v>Other</x:v>
      </x:c>
      <x:c r="G20" s="81" t="str">
        <x:v>Asset2</x:v>
      </x:c>
      <x:c r="H20" s="82" t="str">
        <x:v>Data</x:v>
      </x:c>
      <x:c r="I20" s="82" t="str">
        <x:v>?</x:v>
      </x:c>
      <x:c r="J20" s="82" t="str">
        <x:v>Errors &amp; Just do its</x:v>
      </x:c>
      <x:c r="K20" s="82" t="str">
        <x:v>Sacha Pearce</x:v>
      </x:c>
      <x:c r="L20" s="83" t="n">
        <x:v>46102.15626157408</x:v>
      </x:c>
      <x:c r="M20" s="83" t="n">
        <x:v>46127.127534722225</x:v>
      </x:c>
      <x:c r="N20" s="84" t="n">
        <x:v>3</x:v>
      </x:c>
      <x:c r="O20" s="84" t="n">
        <x:v>1</x:v>
      </x:c>
      <x:c r="P20" s="84" t="n">
        <x:v>0</x:v>
      </x:c>
      <x:c r="Q20" s="84" t="n">
        <x:v>1</x:v>
      </x:c>
      <x:c r="R20" s="82" t="str">
        <x:f>IF(J20="Complete","Review - workbook says Complete","Active backlog")</x:f>
        <x:v>Active backlog</x:v>
      </x:c>
      <x:c r="S20" s="82" t="str">
        <x:v>Team,   Would you please update the stocked checked and Inventory Count dates on the assets for the attached spreadsheet via dataloader.</x:v>
      </x:c>
    </x:row>
    <x:row r="21" ht="34" customHeight="1">
      <x:c r="A21" s="85" t="str">
        <x:v>00009830</x:v>
      </x:c>
      <x:c r="B21" s="82" t="str">
        <x:v>MO RMA and Complaint Report/Dashboard</x:v>
      </x:c>
      <x:c r="C21" s="81" t="str">
        <x:v>Claimed</x:v>
      </x:c>
      <x:c r="D21" s="81" t="str">
        <x:v>Medium</x:v>
      </x:c>
      <x:c r="E21" s="81" t="str">
        <x:v>Jehovany Hernandez</x:v>
      </x:c>
      <x:c r="F21" s="81" t="str">
        <x:v>Administrative (Reports &amp; Dashboards)</x:v>
      </x:c>
      <x:c r="G21" s="81" t="str">
        <x:v>RMA</x:v>
      </x:c>
      <x:c r="H21" s="82" t="str">
        <x:v>Dashboards/Reports/Notifications</x:v>
      </x:c>
      <x:c r="I21" s="82" t="str">
        <x:v>Design</x:v>
      </x:c>
      <x:c r="J21" s="82" t="str">
        <x:v>Projects (Major and Minor)</x:v>
      </x:c>
      <x:c r="K21" s="82" t="str">
        <x:v>Mindy Bender</x:v>
      </x:c>
      <x:c r="L21" s="83" t="n">
        <x:v>46112.97782407407</x:v>
      </x:c>
      <x:c r="M21" s="83" t="n">
        <x:v>46135.111863425926</x:v>
      </x:c>
      <x:c r="N21" s="84" t="n">
        <x:v>2</x:v>
      </x:c>
      <x:c r="O21" s="84" t="n">
        <x:v>2</x:v>
      </x:c>
      <x:c r="P21" s="84" t="n">
        <x:v>1</x:v>
      </x:c>
      <x:c r="Q21" s="84" t="n">
        <x:v>0</x:v>
      </x:c>
      <x:c r="R21" s="82" t="str">
        <x:f>IF(J21="Complete","Review - workbook says Complete","Active backlog")</x:f>
        <x:v>Active backlog</x:v>
      </x:c>
      <x:c r="S21" s="82" t="str">
        <x:v>Can you please create a complaint and RMA Dashboard/Report</x:v>
      </x:c>
    </x:row>
    <x:row r="22" ht="34" customHeight="1">
      <x:c r="A22" s="85" t="str">
        <x:v>00009845</x:v>
      </x:c>
      <x:c r="B22" s="82" t="str">
        <x:v>PandaDoc Issue</x:v>
      </x:c>
      <x:c r="C22" s="81" t="str">
        <x:v>Claimed</x:v>
      </x:c>
      <x:c r="D22" s="81" t="str">
        <x:v>Medium</x:v>
      </x:c>
      <x:c r="E22" s="81" t="str">
        <x:v>Paige Dilick</x:v>
      </x:c>
      <x:c r="F22" s="81" t="str">
        <x:v>Other</x:v>
      </x:c>
      <x:c r="G22" s="81" t="str">
        <x:v>PandaDoc</x:v>
      </x:c>
      <x:c r="H22" s="82" t="str">
        <x:v>BUG</x:v>
      </x:c>
      <x:c r="I22" s="82" t="str">
        <x:v>?</x:v>
      </x:c>
      <x:c r="J22" s="82" t="str">
        <x:v>Errors &amp; Just do its</x:v>
      </x:c>
      <x:c r="K22" s="82" t="str">
        <x:v>Sacha Pearce</x:v>
      </x:c>
      <x:c r="L22" s="83" t="n">
        <x:v>46119.06153935185</x:v>
      </x:c>
      <x:c r="M22" s="83" t="n">
        <x:v>46126.76175925926</x:v>
      </x:c>
      <x:c r="N22" s="84" t="n">
        <x:v>10</x:v>
      </x:c>
      <x:c r="O22" s="84" t="n">
        <x:v>9</x:v>
      </x:c>
      <x:c r="P22" s="84" t="n">
        <x:v>0</x:v>
      </x:c>
      <x:c r="Q22" s="84" t="n">
        <x:v>0</x:v>
      </x:c>
      <x:c r="R22" s="82" t="str">
        <x:f>IF(J22="Complete","Review - workbook says Complete","Active backlog")</x:f>
        <x:v>Active backlog</x:v>
      </x:c>
      <x:c r="S22" s="82" t="str">
        <x:v>Unable to click any tabs or templates once I've added a new doc through PandaDoc in SF.</x:v>
      </x:c>
    </x:row>
    <x:row r="23" ht="34" customHeight="1">
      <x:c r="A23" s="85" t="str">
        <x:v>00009868</x:v>
      </x:c>
      <x:c r="B23" s="82" t="str">
        <x:v>additional notes field for service coordinators?</x:v>
      </x:c>
      <x:c r="C23" s="81" t="str">
        <x:v>Claimed</x:v>
      </x:c>
      <x:c r="D23" s="81" t="str">
        <x:v>Medium</x:v>
      </x:c>
      <x:c r="E23" s="81" t="str">
        <x:v>Caroline Clinton</x:v>
      </x:c>
      <x:c r="F23" s="81" t="str">
        <x:v>Other</x:v>
      </x:c>
      <x:c r="G23" s="81" t="str">
        <x:v>Field Service Lightning</x:v>
      </x:c>
      <x:c r="H23" s="82" t="str">
        <x:v>New/Edit Workflows, New/Edit Fields</x:v>
      </x:c>
      <x:c r="I23" s="82" t="str">
        <x:v>Requirement Gathering</x:v>
      </x:c>
      <x:c r="J23" s="82" t="str">
        <x:v>Projects (Major and Minor)</x:v>
      </x:c>
      <x:c r="K23" s="82" t="str">
        <x:v>Sacha Pearce</x:v>
      </x:c>
      <x:c r="L23" s="83" t="n">
        <x:v>46122.64706018518</x:v>
      </x:c>
      <x:c r="M23" s="83" t="n">
        <x:v>46122.64707175926</x:v>
      </x:c>
      <x:c r="N23" s="84" t="n">
        <x:v>2</x:v>
      </x:c>
      <x:c r="O23" s="84" t="n">
        <x:v>1</x:v>
      </x:c>
      <x:c r="P23" s="84" t="n">
        <x:v>0</x:v>
      </x:c>
      <x:c r="Q23" s="84" t="n">
        <x:v>0</x:v>
      </x:c>
      <x:c r="R23" s="82" t="str">
        <x:f>IF(J23="Complete","Review - workbook says Complete","Active backlog")</x:f>
        <x:v>Active backlog</x:v>
      </x:c>
      <x:c r="S23" s="82" t="str">
        <x:v>request for additional note field for service coordinators , engineers have internal notes, useful for service to input at times also</x:v>
      </x:c>
    </x:row>
    <x:row r="24" ht="34" customHeight="1">
      <x:c r="A24" s="85" t="str">
        <x:v>00009869</x:v>
      </x:c>
      <x:c r="B24" s="82" t="str">
        <x:v>coordinators mailbox view of engineers schedule</x:v>
      </x:c>
      <x:c r="C24" s="81" t="str">
        <x:v>Claimed</x:v>
      </x:c>
      <x:c r="D24" s="81" t="str">
        <x:v>Medium</x:v>
      </x:c>
      <x:c r="E24" s="81" t="str">
        <x:v>Caroline Clinton</x:v>
      </x:c>
      <x:c r="F24" s="81" t="str">
        <x:v>Salesforce Improvement</x:v>
      </x:c>
      <x:c r="G24" s="81" t="str">
        <x:v>Field Service Lightning</x:v>
      </x:c>
      <x:c r="H24" s="82" t="str">
        <x:v>New/Edit Workflows, New/Edit Fields</x:v>
      </x:c>
      <x:c r="I24" s="82" t="str">
        <x:v>Not Yet Started</x:v>
      </x:c>
      <x:c r="J24" s="82" t="str">
        <x:v>Projects (Major and Minor)</x:v>
      </x:c>
      <x:c r="K24" s="82" t="str">
        <x:v>Sacha Pearce</x:v>
      </x:c>
      <x:c r="L24" s="83" t="n">
        <x:v>46122.71042824074</x:v>
      </x:c>
      <x:c r="M24" s="83" t="n">
        <x:v>46122.71042824074</x:v>
      </x:c>
      <x:c r="N24" s="84" t="n">
        <x:v>2</x:v>
      </x:c>
      <x:c r="O24" s="84" t="n">
        <x:v>1</x:v>
      </x:c>
      <x:c r="P24" s="84" t="n">
        <x:v>0</x:v>
      </x:c>
      <x:c r="Q24" s="84" t="n">
        <x:v>0</x:v>
      </x:c>
      <x:c r="R24" s="82" t="str">
        <x:f>IF(J24="Complete","Review - workbook says Complete","Active backlog")</x:f>
        <x:v>Active backlog</x:v>
      </x:c>
      <x:c r="S24" s="82" t="str">
        <x:v>coordinators mailbox view of engineers schedule</x:v>
      </x:c>
    </x:row>
    <x:row r="25" ht="34" customHeight="1">
      <x:c r="A25" s="85" t="str">
        <x:v>00009873</x:v>
      </x:c>
      <x:c r="B25" s="82" t="str">
        <x:v>synced to Intacct with no BS</x:v>
      </x:c>
      <x:c r="C25" s="81" t="str">
        <x:v>Claimed</x:v>
      </x:c>
      <x:c r="D25" s="81" t="str">
        <x:v>Medium</x:v>
      </x:c>
      <x:c r="E25" s="81" t="str">
        <x:v>Louise Harrison</x:v>
      </x:c>
      <x:c r="F25" s="81" t="str">
        <x:v>Salesforce Error</x:v>
      </x:c>
      <x:c r="G25" s="81" t="str">
        <x:v>Intacct</x:v>
      </x:c>
      <x:c r="H25" s="82" t="str">
        <x:v>Data</x:v>
      </x:c>
      <x:c r="I25" s="82" t="str">
        <x:v>?</x:v>
      </x:c>
      <x:c r="J25" s="82" t="str">
        <x:v>Errors &amp; Just do its</x:v>
      </x:c>
      <x:c r="K25" s="82" t="str">
        <x:v>Sacha Pearce</x:v>
      </x:c>
      <x:c r="L25" s="83" t="n">
        <x:v>46123.00399305556</x:v>
      </x:c>
      <x:c r="M25" s="83" t="n">
        <x:v>46123.00400462963</x:v>
      </x:c>
      <x:c r="N25" s="84" t="n">
        <x:v>2</x:v>
      </x:c>
      <x:c r="O25" s="84" t="n">
        <x:v>1</x:v>
      </x:c>
      <x:c r="P25" s="84" t="n">
        <x:v>0</x:v>
      </x:c>
      <x:c r="Q25" s="84" t="n">
        <x:v>0</x:v>
      </x:c>
      <x:c r="R25" s="82" t="str">
        <x:f>IF(J25="Complete","Review - workbook says Complete","Active backlog")</x:f>
        <x:v>Active backlog</x:v>
      </x:c>
      <x:c r="S25" s="82" t="str">
        <x:v>O-00543994 synced to intacct with no business segment, should sync with mech serv</x:v>
      </x:c>
    </x:row>
    <x:row r="26" ht="34" customHeight="1">
      <x:c r="A26" s="85" t="str">
        <x:v>00009874</x:v>
      </x:c>
      <x:c r="B26" s="82" t="str">
        <x:v>synced to incorrect GL</x:v>
      </x:c>
      <x:c r="C26" s="81" t="str">
        <x:v>Claimed</x:v>
      </x:c>
      <x:c r="D26" s="81" t="str">
        <x:v>Medium</x:v>
      </x:c>
      <x:c r="E26" s="81" t="str">
        <x:v>Louise Harrison</x:v>
      </x:c>
      <x:c r="F26" s="81" t="str">
        <x:v>Salesforce Error</x:v>
      </x:c>
      <x:c r="G26" s="81" t="str">
        <x:v>Intacct</x:v>
      </x:c>
      <x:c r="H26" s="82" t="str">
        <x:v>Data</x:v>
      </x:c>
      <x:c r="I26" s="82" t="str">
        <x:v>?</x:v>
      </x:c>
      <x:c r="J26" s="82" t="str">
        <x:v>Errors &amp; Just do its</x:v>
      </x:c>
      <x:c r="K26" s="82" t="str">
        <x:v>Sacha Pearce</x:v>
      </x:c>
      <x:c r="L26" s="83" t="n">
        <x:v>46123.005578703705</x:v>
      </x:c>
      <x:c r="M26" s="83" t="n">
        <x:v>46123.005578703705</x:v>
      </x:c>
      <x:c r="N26" s="84" t="n">
        <x:v>2</x:v>
      </x:c>
      <x:c r="O26" s="84" t="n">
        <x:v>1</x:v>
      </x:c>
      <x:c r="P26" s="84" t="n">
        <x:v>0</x:v>
      </x:c>
      <x:c r="Q26" s="84" t="n">
        <x:v>0</x:v>
      </x:c>
      <x:c r="R26" s="82" t="str">
        <x:f>IF(J26="Complete","Review - workbook says Complete","Active backlog")</x:f>
        <x:v>Active backlog</x:v>
      </x:c>
      <x:c r="S26" s="82" t="str">
        <x:v>synced to non-contract service, should have synced to 42300 mech serv - non contract</x:v>
      </x:c>
    </x:row>
    <x:row r="27" ht="34" customHeight="1">
      <x:c r="A27" s="85" t="str">
        <x:v>00009875</x:v>
      </x:c>
      <x:c r="B27" s="82" t="str">
        <x:v>O-00532757 synced to wrong GL</x:v>
      </x:c>
      <x:c r="C27" s="81" t="str">
        <x:v>Claimed</x:v>
      </x:c>
      <x:c r="D27" s="81" t="str">
        <x:v>Medium</x:v>
      </x:c>
      <x:c r="E27" s="81" t="str">
        <x:v>Louise Harrison</x:v>
      </x:c>
      <x:c r="F27" s="81" t="str">
        <x:v>Salesforce Error</x:v>
      </x:c>
      <x:c r="G27" s="81" t="str">
        <x:v>Intacct</x:v>
      </x:c>
      <x:c r="H27" s="82" t="str">
        <x:v>Data</x:v>
      </x:c>
      <x:c r="I27" s="82" t="str">
        <x:v>?</x:v>
      </x:c>
      <x:c r="J27" s="82" t="str">
        <x:v>Errors &amp; Just do its</x:v>
      </x:c>
      <x:c r="K27" s="82" t="str">
        <x:v>Sacha Pearce</x:v>
      </x:c>
      <x:c r="L27" s="83" t="n">
        <x:v>46123.008043981485</x:v>
      </x:c>
      <x:c r="M27" s="83" t="n">
        <x:v>46123.008043981485</x:v>
      </x:c>
      <x:c r="N27" s="84" t="n">
        <x:v>2</x:v>
      </x:c>
      <x:c r="O27" s="84" t="n">
        <x:v>1</x:v>
      </x:c>
      <x:c r="P27" s="84" t="n">
        <x:v>0</x:v>
      </x:c>
      <x:c r="Q27" s="84" t="n">
        <x:v>0</x:v>
      </x:c>
      <x:c r="R27" s="82" t="str">
        <x:f>IF(J27="Complete","Review - workbook says Complete","Active backlog")</x:f>
        <x:v>Active backlog</x:v>
      </x:c>
      <x:c r="S27" s="82" t="str">
        <x:v>synced to 41200 non-contract service, but should have been 42300. Synced with no BS when should have been Mech serv</x:v>
      </x:c>
    </x:row>
    <x:row r="28" ht="34" customHeight="1">
      <x:c r="A28" s="85" t="str">
        <x:v>00009876</x:v>
      </x:c>
      <x:c r="B28" s="82" t="str">
        <x:v>O-00539851 synced to wrong GL</x:v>
      </x:c>
      <x:c r="C28" s="81" t="str">
        <x:v>Claimed</x:v>
      </x:c>
      <x:c r="D28" s="81" t="str">
        <x:v>Medium</x:v>
      </x:c>
      <x:c r="E28" s="81" t="str">
        <x:v>Louise Harrison</x:v>
      </x:c>
      <x:c r="F28" s="81" t="str">
        <x:v>Salesforce Error</x:v>
      </x:c>
      <x:c r="G28" s="81" t="str">
        <x:v>Intacct</x:v>
      </x:c>
      <x:c r="H28" s="82" t="str">
        <x:v>Data</x:v>
      </x:c>
      <x:c r="I28" s="82" t="str">
        <x:v>?</x:v>
      </x:c>
      <x:c r="J28" s="82" t="str">
        <x:v>Errors &amp; Just do its</x:v>
      </x:c>
      <x:c r="K28" s="82" t="str">
        <x:v>Sacha Pearce</x:v>
      </x:c>
      <x:c r="L28" s="83" t="n">
        <x:v>46123.008784722224</x:v>
      </x:c>
      <x:c r="M28" s="83" t="n">
        <x:v>46123.008784722224</x:v>
      </x:c>
      <x:c r="N28" s="84" t="n">
        <x:v>2</x:v>
      </x:c>
      <x:c r="O28" s="84" t="n">
        <x:v>1</x:v>
      </x:c>
      <x:c r="P28" s="84" t="n">
        <x:v>0</x:v>
      </x:c>
      <x:c r="Q28" s="84" t="n">
        <x:v>0</x:v>
      </x:c>
      <x:c r="R28" s="82" t="str">
        <x:f>IF(J28="Complete","Review - workbook says Complete","Active backlog")</x:f>
        <x:v>Active backlog</x:v>
      </x:c>
      <x:c r="S28" s="82" t="str">
        <x:v>synced to 41200 non-contract service, but should have been 42300. Synced with no BS when should have been Mech serv</x:v>
      </x:c>
    </x:row>
    <x:row r="29" ht="34" customHeight="1">
      <x:c r="A29" s="85" t="str">
        <x:v>00009906</x:v>
      </x:c>
      <x:c r="B29" s="82" t="str">
        <x:v>Decommission/Contract Lines still active</x:v>
      </x:c>
      <x:c r="C29" s="81" t="str">
        <x:v>Claimed</x:v>
      </x:c>
      <x:c r="D29" s="81" t="str">
        <x:v>Medium</x:v>
      </x:c>
      <x:c r="E29" s="81" t="str">
        <x:v>Nicky Lloyd-Jones</x:v>
      </x:c>
      <x:c r="F29" s="81" t="str">
        <x:v>Salesforce Improvement</x:v>
      </x:c>
      <x:c r="G29" s="81" t="str">
        <x:v>Service Contract</x:v>
      </x:c>
      <x:c r="H29" s="82" t="str">
        <x:v>New/Edit Workflows, New/Edit Fields</x:v>
      </x:c>
      <x:c r="I29" s="82" t="str">
        <x:v>Requirement Gathering</x:v>
      </x:c>
      <x:c r="J29" s="82" t="str">
        <x:v>Projects (Major and Minor)</x:v>
      </x:c>
      <x:c r="K29" s="82" t="str">
        <x:v>Sacha Pearce</x:v>
      </x:c>
      <x:c r="L29" s="83" t="n">
        <x:v>46127.88596064815</x:v>
      </x:c>
      <x:c r="M29" s="83" t="n">
        <x:v>46127.88596064815</x:v>
      </x:c>
      <x:c r="N29" s="84" t="n">
        <x:v>2</x:v>
      </x:c>
      <x:c r="O29" s="84" t="n">
        <x:v>1</x:v>
      </x:c>
      <x:c r="P29" s="84" t="n">
        <x:v>0</x:v>
      </x:c>
      <x:c r="Q29" s="84" t="n">
        <x:v>0</x:v>
      </x:c>
      <x:c r="R29" s="82" t="str">
        <x:f>IF(J29="Complete","Review - workbook says Complete","Active backlog")</x:f>
        <x:v>Active backlog</x:v>
      </x:c>
      <x:c r="S29" s="82" t="str">
        <x:v>Tom is saying when we decomission systems the contract line remains active and wants us to amend the end date on the line. lPlease can you review so the decomssion date forces the line to become inactive</x:v>
      </x:c>
    </x:row>
    <x:row r="30" ht="34" customHeight="1">
      <x:c r="A30" s="85" t="str">
        <x:v>00009910</x:v>
      </x:c>
      <x:c r="B30" s="82" t="str">
        <x:v>pop up or important notes</x:v>
      </x:c>
      <x:c r="C30" s="81" t="str">
        <x:v>Claimed</x:v>
      </x:c>
      <x:c r="D30" s="81" t="str">
        <x:v>Medium</x:v>
      </x:c>
      <x:c r="E30" s="81" t="str">
        <x:v>Caroline Clinton</x:v>
      </x:c>
      <x:c r="F30" s="81" t="str">
        <x:v>Salesforce Improvement</x:v>
      </x:c>
      <x:c r="G30" s="81" t="str">
        <x:v>Equipment</x:v>
      </x:c>
      <x:c r="H30" s="82" t="str">
        <x:v>New/Edit Workflows, New/Edit Fields</x:v>
      </x:c>
      <x:c r="I30" s="82" t="str">
        <x:v>Not Yet Started</x:v>
      </x:c>
      <x:c r="J30" s="82" t="str">
        <x:v>Projects (Major and Minor)</x:v>
      </x:c>
      <x:c r="K30" s="82" t="str">
        <x:v>Sacha Pearce</x:v>
      </x:c>
      <x:c r="L30" s="83" t="n">
        <x:v>46128.02579861111</x:v>
      </x:c>
      <x:c r="M30" s="83" t="n">
        <x:v>46128.02579861111</x:v>
      </x:c>
      <x:c r="N30" s="84" t="n">
        <x:v>2</x:v>
      </x:c>
      <x:c r="O30" s="84" t="n">
        <x:v>1</x:v>
      </x:c>
      <x:c r="P30" s="84" t="n">
        <x:v>0</x:v>
      </x:c>
      <x:c r="Q30" s="84" t="n">
        <x:v>0</x:v>
      </x:c>
      <x:c r="R30" s="82" t="str">
        <x:f>IF(J30="Complete","Review - workbook says Complete","Active backlog")</x:f>
        <x:v>Active backlog</x:v>
      </x:c>
      <x:c r="S30" s="82" t="str">
        <x:v>is it possible to add in a pop up field to input notes against equipment by service coordinators that would pop up when logging jobs against a contract line ?</x:v>
      </x:c>
    </x:row>
    <x:row r="31" ht="34" customHeight="1">
      <x:c r="A31" s="85" t="str">
        <x:v>00009939</x:v>
      </x:c>
      <x:c r="B31" s="82" t="str">
        <x:v>Cause of damage listed on repair evaluations for probes - can we piggy back off of what scopes uses?</x:v>
      </x:c>
      <x:c r="C31" s="81" t="str">
        <x:v>Claimed</x:v>
      </x:c>
      <x:c r="D31" s="81" t="str">
        <x:v>Medium</x:v>
      </x:c>
      <x:c r="E31" s="81" t="str">
        <x:v>Matt Mooney</x:v>
      </x:c>
      <x:c r="F31" s="81" t="str">
        <x:v>Salesforce Improvement</x:v>
      </x:c>
      <x:c r="G31" s="81" t="str">
        <x:v>Evaluation</x:v>
      </x:c>
      <x:c r="H31" s="82" t="str">
        <x:v>New/Edit Fields</x:v>
      </x:c>
      <x:c r="I31" s="82" t="str">
        <x:v>Requirement Gathering</x:v>
      </x:c>
      <x:c r="J31" s="82" t="str">
        <x:v>Projects (Major and Minor)</x:v>
      </x:c>
      <x:c r="K31" s="82" t="str">
        <x:v>Mindy Bender</x:v>
      </x:c>
      <x:c r="L31" s="83" t="n">
        <x:v>46134.719814814816</x:v>
      </x:c>
      <x:c r="M31" s="83" t="n">
        <x:v>46214.01967592593</x:v>
      </x:c>
      <x:c r="N31" s="84" t="n">
        <x:v>3</x:v>
      </x:c>
      <x:c r="O31" s="84" t="n">
        <x:v>2</x:v>
      </x:c>
      <x:c r="P31" s="84" t="n">
        <x:v>0</x:v>
      </x:c>
      <x:c r="Q31" s="84" t="n">
        <x:v>0</x:v>
      </x:c>
      <x:c r="R31" s="82" t="str">
        <x:f>IF(J31="Complete","Review - workbook says Complete","Active backlog")</x:f>
        <x:v>Active backlog</x:v>
      </x:c>
      <x:c r="S31" s="82" t="str">
        <x:v>We are getting a request for the cause of damage to be provided on the repair evaluations from more and more customers.   What are your thoughts on adding a dropdown menu or something similar to the evaluation page.  scopes has something similar</x:v>
      </x:c>
    </x:row>
    <x:row r="32" ht="34" customHeight="1">
      <x:c r="A32" s="85" t="str">
        <x:v>00009998</x:v>
      </x:c>
      <x:c r="B32" s="82" t="str">
        <x:v>System behavior where updating an RMA</x:v>
      </x:c>
      <x:c r="C32" s="81" t="str">
        <x:v>Claimed</x:v>
      </x:c>
      <x:c r="D32" s="81" t="str">
        <x:v>Medium</x:v>
      </x:c>
      <x:c r="E32" s="81" t="str">
        <x:v>Blake Nielsen</x:v>
      </x:c>
      <x:c r="F32" s="81" t="str">
        <x:v>Other</x:v>
      </x:c>
      <x:c r="G32" s="81" t="str">
        <x:v>RMA</x:v>
      </x:c>
      <x:c r="H32" s="82" t="str">
        <x:v>BUG</x:v>
      </x:c>
      <x:c r="I32" s="82" t="str">
        <x:v>?</x:v>
      </x:c>
      <x:c r="J32" s="82" t="str">
        <x:v>Errors &amp; Just do its</x:v>
      </x:c>
      <x:c r="K32" s="82" t="str">
        <x:v>Sacha Pearce</x:v>
      </x:c>
      <x:c r="L32" s="83" t="n">
        <x:v>46148.17457175926</x:v>
      </x:c>
      <x:c r="M32" s="83" t="n">
        <x:v>46154.20537037037</x:v>
      </x:c>
      <x:c r="N32" s="84" t="n">
        <x:v>2</x:v>
      </x:c>
      <x:c r="O32" s="84" t="n">
        <x:v>1</x:v>
      </x:c>
      <x:c r="P32" s="84" t="n">
        <x:v>0</x:v>
      </x:c>
      <x:c r="Q32" s="84" t="n">
        <x:v>1</x:v>
      </x:c>
      <x:c r="R32" s="82" t="str">
        <x:f>IF(J32="Complete","Review - workbook says Complete","Active backlog")</x:f>
        <x:v>Active backlog</x:v>
      </x:c>
      <x:c r="S32" s="82" t="str">
        <x:v>We are encountering a system behavior where updating an RMA specifically within the Quality Issue Details, Root Cause, and Corrective Action fields results in the removal of key asset attributes</x:v>
      </x:c>
    </x:row>
    <x:row r="33" ht="34" customHeight="1">
      <x:c r="A33" s="85" t="str">
        <x:v>00010008</x:v>
      </x:c>
      <x:c r="B33" s="82" t="str">
        <x:v>Locking Down Cost Field</x:v>
      </x:c>
      <x:c r="C33" s="81" t="str">
        <x:v>Claimed</x:v>
      </x:c>
      <x:c r="D33" s="81" t="str">
        <x:v>Medium</x:v>
      </x:c>
      <x:c r="E33" s="81" t="str">
        <x:v>Aaron Poston</x:v>
      </x:c>
      <x:c r="F33" s="81" t="str">
        <x:v>Salesforce Improvement</x:v>
      </x:c>
      <x:c r="G33" s="81" t="str">
        <x:v>Asset2</x:v>
      </x:c>
      <x:c r="H33" s="82" t="str">
        <x:v>Validation Rules/Access</x:v>
      </x:c>
      <x:c r="I33" s="82" t="str">
        <x:v>Design</x:v>
      </x:c>
      <x:c r="J33" s="82" t="str">
        <x:v>Projects (Major and Minor)</x:v>
      </x:c>
      <x:c r="K33" s="82" t="str">
        <x:v>Mindy Bender</x:v>
      </x:c>
      <x:c r="L33" s="83" t="n">
        <x:v>46149.03733796296</x:v>
      </x:c>
      <x:c r="M33" s="83" t="n">
        <x:v>46214.01967592593</x:v>
      </x:c>
      <x:c r="N33" s="84" t="n">
        <x:v>4</x:v>
      </x:c>
      <x:c r="O33" s="84" t="n">
        <x:v>2</x:v>
      </x:c>
      <x:c r="P33" s="84" t="n">
        <x:v>0</x:v>
      </x:c>
      <x:c r="Q33" s="84" t="n">
        <x:v>0</x:v>
      </x:c>
      <x:c r="R33" s="82" t="str">
        <x:f>IF(J33="Complete","Review - workbook says Complete","Active backlog")</x:f>
        <x:v>Active backlog</x:v>
      </x:c>
      <x:c r="S33" s="82" t="str">
        <x:v>The asset's "Cost" field should be locked upon processing of the Item Receipt.  Having the ability to edit this field is a major risk to the accuracy of the tracked cost of systems and parts.   Cost also effects processing of System &amp; Harvest WO's.  Example: A# 520550.  System originated with  a cost of $70k.  We removed a tube for stock at $40k via a Harvest Work Order, leaving the system with a cost of $30k.  The Cost field for the system did not update to show the new cost.  We manually edited the cost to reflect the new value of $30k.  However that also caused the previously completed SWO and HWO to update the cost to a 30k starting point and then removing the 40k from the system.  We the workflows that are build in, Cost should not be an editable field.  Additionally, we added a different tube to the system at $20k cost.  This brought the system up from $30k to $50k.  The Cost field remained the same at $70k.  We need to have a field added to show the "Current Cost" of an asset.   In this situation, you would have the "Cost" field or the original cost the item was brought in at as a locked field and a "Current Cost" field, which would show the current cost tied to the asset.</x:v>
      </x:c>
    </x:row>
    <x:row r="34" ht="34" customHeight="1">
      <x:c r="A34" s="85" t="str">
        <x:v>00010013</x:v>
      </x:c>
      <x:c r="B34" s="82" t="str">
        <x:v>W/O option</x:v>
      </x:c>
      <x:c r="C34" s="81" t="str">
        <x:v>Claimed</x:v>
      </x:c>
      <x:c r="D34" s="81" t="str">
        <x:v>Medium</x:v>
      </x:c>
      <x:c r="E34" s="81" t="str">
        <x:v>Terry Mascia</x:v>
      </x:c>
      <x:c r="F34" s="81" t="str">
        <x:v>Salesforce Improvement</x:v>
      </x:c>
      <x:c r="G34" s="81" t="str">
        <x:v>Equipment</x:v>
      </x:c>
      <x:c r="H34" s="82" t="str">
        <x:v>New Record Types</x:v>
      </x:c>
      <x:c r="I34" s="82" t="str">
        <x:v>Requirement Gathering</x:v>
      </x:c>
      <x:c r="J34" s="82" t="str">
        <x:v>Projects (Major and Minor)</x:v>
      </x:c>
      <x:c r="K34" s="82" t="str">
        <x:v>Mindy Bender</x:v>
      </x:c>
      <x:c r="L34" s="83" t="n">
        <x:v>46149.807858796295</x:v>
      </x:c>
      <x:c r="M34" s="83" t="n">
        <x:v>46158.119409722225</x:v>
      </x:c>
      <x:c r="N34" s="84" t="n">
        <x:v>3</x:v>
      </x:c>
      <x:c r="O34" s="84" t="n">
        <x:v>2</x:v>
      </x:c>
      <x:c r="P34" s="84" t="n">
        <x:v>0</x:v>
      </x:c>
      <x:c r="Q34" s="84" t="n">
        <x:v>0</x:v>
      </x:c>
      <x:c r="R34" s="82" t="str">
        <x:f>IF(J34="Complete","Review - workbook says Complete","Active backlog")</x:f>
        <x:v>Active backlog</x:v>
      </x:c>
      <x:c r="S34" s="82" t="str">
        <x:v>Please add a Rental w/o option in list, with rental return RMA</x:v>
      </x:c>
    </x:row>
    <x:row r="35" ht="34" customHeight="1">
      <x:c r="A35" s="85" t="str">
        <x:v>00010017</x:v>
      </x:c>
      <x:c r="B35" s="82" t="str">
        <x:v>Loaner SN to Pull into Closed Won Shipping Notification e-mail  that SFDC automatically generates - i can send example if helpful</x:v>
      </x:c>
      <x:c r="C35" s="81" t="str">
        <x:v>Claimed</x:v>
      </x:c>
      <x:c r="D35" s="81" t="str">
        <x:v>Medium</x:v>
      </x:c>
      <x:c r="E35" s="81" t="str">
        <x:v>Matt Mooney</x:v>
      </x:c>
      <x:c r="F35" s="81" t="str">
        <x:v>Salesforce Improvement</x:v>
      </x:c>
      <x:c r="G35" s="81" t="str">
        <x:v>Opportunity</x:v>
      </x:c>
      <x:c r="H35" s="82" t="str">
        <x:v>Dashboards/Reports/Notifications</x:v>
      </x:c>
      <x:c r="I35" s="82" t="str">
        <x:v>Design</x:v>
      </x:c>
      <x:c r="J35" s="82" t="str">
        <x:v>Projects (Major and Minor)</x:v>
      </x:c>
      <x:c r="K35" s="82" t="str">
        <x:v>Mindy Bender</x:v>
      </x:c>
      <x:c r="L35" s="83" t="n">
        <x:v>46150.85804398148</x:v>
      </x:c>
      <x:c r="M35" s="83" t="n">
        <x:v>46214.01967592593</x:v>
      </x:c>
      <x:c r="N35" s="84" t="n">
        <x:v>3</x:v>
      </x:c>
      <x:c r="O35" s="84" t="n">
        <x:v>2</x:v>
      </x:c>
      <x:c r="P35" s="84" t="n">
        <x:v>0</x:v>
      </x:c>
      <x:c r="Q35" s="84" t="n">
        <x:v>0</x:v>
      </x:c>
      <x:c r="R35" s="82" t="str">
        <x:f>IF(J35="Complete","Review - workbook says Complete","Active backlog")</x:f>
        <x:v>Active backlog</x:v>
      </x:c>
      <x:c r="S35" s="82" t="str">
        <x:v>When a completed repair ships, SFDC sends an e-mil with tracking/probe info.  We have to go back into the opp to copy the loaner SN.  This does not always happen so would like it to be included in the shipping email w/ loaner RMA to expedite loaner return</x:v>
      </x:c>
    </x:row>
    <x:row r="36" ht="34" customHeight="1">
      <x:c r="A36" s="85" t="str">
        <x:v>00010019</x:v>
      </x:c>
      <x:c r="B36" s="82" t="str">
        <x:v>automated shipping emails to customers</x:v>
      </x:c>
      <x:c r="C36" s="81" t="str">
        <x:v>Claimed</x:v>
      </x:c>
      <x:c r="D36" s="81" t="str">
        <x:v>Medium</x:v>
      </x:c>
      <x:c r="E36" s="81" t="str">
        <x:v>Aline Ekizian</x:v>
      </x:c>
      <x:c r="F36" s="81" t="str">
        <x:v>Salesforce Idea</x:v>
      </x:c>
      <x:c r="G36" s="81" t="str">
        <x:v>Shipment/ZenKraft</x:v>
      </x:c>
      <x:c r="H36" s="82" t="str">
        <x:v>Dashboards/Reports/Notifications</x:v>
      </x:c>
      <x:c r="I36" s="82" t="str">
        <x:v>Not Yet Started</x:v>
      </x:c>
      <x:c r="J36" s="82" t="str">
        <x:v>Projects (Major and Minor)</x:v>
      </x:c>
      <x:c r="K36" s="82" t="str">
        <x:v>Mindy Bender</x:v>
      </x:c>
      <x:c r="L36" s="83" t="n">
        <x:v>46150.92487268519</x:v>
      </x:c>
      <x:c r="M36" s="83" t="n">
        <x:v>46214.01967592593</x:v>
      </x:c>
      <x:c r="N36" s="84" t="n">
        <x:v>5</x:v>
      </x:c>
      <x:c r="O36" s="84" t="n">
        <x:v>3</x:v>
      </x:c>
      <x:c r="P36" s="84" t="n">
        <x:v>0</x:v>
      </x:c>
      <x:c r="Q36" s="84" t="n">
        <x:v>0</x:v>
      </x:c>
      <x:c r="R36" s="82" t="str">
        <x:f>IF(J36="Complete","Review - workbook says Complete","Active backlog")</x:f>
        <x:v>Active backlog</x:v>
      </x:c>
      <x:c r="S36" s="82" t="str">
        <x:v>automated shipping emails to customers - track customer contact on opp</x:v>
      </x:c>
    </x:row>
    <x:row r="37" ht="34" customHeight="1">
      <x:c r="A37" s="85" t="str">
        <x:v>00010059</x:v>
      </x:c>
      <x:c r="B37" s="82" t="str">
        <x:v>Move location 'New' buttons</x:v>
      </x:c>
      <x:c r="C37" s="81" t="str">
        <x:v>Claimed</x:v>
      </x:c>
      <x:c r="D37" s="81" t="str">
        <x:v>Medium</x:v>
      </x:c>
      <x:c r="E37" s="81" t="str">
        <x:v>Jon Kean</x:v>
      </x:c>
      <x:c r="F37" s="81" t="str">
        <x:v>Salesforce Improvement</x:v>
      </x:c>
      <x:c r="G37" s="81" t="str">
        <x:v>Move Location</x:v>
      </x:c>
      <x:c r="H37" s="82" t="str">
        <x:v>New/Edit Workflows, New/Edit Fields</x:v>
      </x:c>
      <x:c r="I37" s="82" t="str">
        <x:v>Not Yet Started</x:v>
      </x:c>
      <x:c r="J37" s="82" t="str">
        <x:v>Projects (Major and Minor)</x:v>
      </x:c>
      <x:c r="K37" s="82" t="str">
        <x:v>Sacha Pearce</x:v>
      </x:c>
      <x:c r="L37" s="83" t="n">
        <x:v>46157.86748842592</x:v>
      </x:c>
      <x:c r="M37" s="83" t="n">
        <x:v>46157.86751157408</x:v>
      </x:c>
      <x:c r="N37" s="84" t="n">
        <x:v>2</x:v>
      </x:c>
      <x:c r="O37" s="84" t="n">
        <x:v>1</x:v>
      </x:c>
      <x:c r="P37" s="84" t="n">
        <x:v>0</x:v>
      </x:c>
      <x:c r="Q37" s="84" t="n">
        <x:v>0</x:v>
      </x:c>
      <x:c r="R37" s="82" t="str">
        <x:f>IF(J37="Complete","Review - workbook says Complete","Active backlog")</x:f>
        <x:v>Active backlog</x:v>
      </x:c>
      <x:c r="S37" s="82" t="str">
        <x:v>Please remove the "New" button from Move Locations as it doesn't trigger the current location update flow. Also rename "New UK Move Location" to "New Move Location"</x:v>
      </x:c>
    </x:row>
    <x:row r="38" ht="34" customHeight="1">
      <x:c r="A38" s="85" t="str">
        <x:v>00010071</x:v>
      </x:c>
      <x:c r="B38" s="82" t="str">
        <x:v>Reserved status on asset</x:v>
      </x:c>
      <x:c r="C38" s="81" t="str">
        <x:v>Claimed</x:v>
      </x:c>
      <x:c r="D38" s="81" t="str">
        <x:v>Medium</x:v>
      </x:c>
      <x:c r="E38" s="81" t="str">
        <x:v>Ken Anderson</x:v>
      </x:c>
      <x:c r="F38" s="81" t="str">
        <x:v>Other</x:v>
      </x:c>
      <x:c r="G38" s="81" t="str">
        <x:v>Asset2</x:v>
      </x:c>
      <x:c r="H38" s="82" t="str">
        <x:v>Validation Rules/Access</x:v>
      </x:c>
      <x:c r="I38" s="82" t="str">
        <x:v>?</x:v>
      </x:c>
      <x:c r="J38" s="82" t="str">
        <x:v>Errors &amp; Just do its</x:v>
      </x:c>
      <x:c r="K38" s="82" t="str">
        <x:v>Lisa Litviak</x:v>
      </x:c>
      <x:c r="L38" s="83" t="n">
        <x:v>46161.86240740741</x:v>
      </x:c>
      <x:c r="M38" s="83" t="n">
        <x:v>46162.96497685185</x:v>
      </x:c>
      <x:c r="N38" s="84" t="n">
        <x:v>3</x:v>
      </x:c>
      <x:c r="O38" s="84" t="n">
        <x:v>3</x:v>
      </x:c>
      <x:c r="P38" s="84" t="n">
        <x:v>0</x:v>
      </x:c>
      <x:c r="Q38" s="84" t="n">
        <x:v>0</x:v>
      </x:c>
      <x:c r="R38" s="82" t="str">
        <x:f>IF(J38="Complete","Review - workbook says Complete","Active backlog")</x:f>
        <x:v>Active backlog</x:v>
      </x:c>
      <x:c r="S38" s="82" t="str">
        <x:v>I can not uncheck the reserved status. there is no pencil mark to click on.</x:v>
      </x:c>
    </x:row>
    <x:row r="39" ht="34" customHeight="1">
      <x:c r="A39" s="85" t="str">
        <x:v>00010078</x:v>
      </x:c>
      <x:c r="B39" s="82" t="str">
        <x:v>Outlook adding not working</x:v>
      </x:c>
      <x:c r="C39" s="81" t="str">
        <x:v>Claimed</x:v>
      </x:c>
      <x:c r="D39" s="81" t="str">
        <x:v>Medium</x:v>
      </x:c>
      <x:c r="E39" s="81" t="str">
        <x:v>Robyn Nugent</x:v>
      </x:c>
      <x:c r="F39" s="81" t="str">
        <x:v>Other</x:v>
      </x:c>
      <x:c r="G39" s="81" t="str">
        <x:v>OTHER</x:v>
      </x:c>
      <x:c r="H39" s="82" t="str">
        <x:v>BUG</x:v>
      </x:c>
      <x:c r="I39" s="82" t="str">
        <x:v>?</x:v>
      </x:c>
      <x:c r="J39" s="82" t="str">
        <x:v>Errors &amp; Just do its</x:v>
      </x:c>
      <x:c r="K39" s="82" t="str">
        <x:v>Sacha Pearce</x:v>
      </x:c>
      <x:c r="L39" s="83" t="n">
        <x:v>46162.73835648148</x:v>
      </x:c>
      <x:c r="M39" s="83" t="n">
        <x:v>46162.73835648148</x:v>
      </x:c>
      <x:c r="N39" s="84" t="n">
        <x:v>2</x:v>
      </x:c>
      <x:c r="O39" s="84" t="n">
        <x:v>1</x:v>
      </x:c>
      <x:c r="P39" s="84" t="n">
        <x:v>0</x:v>
      </x:c>
      <x:c r="Q39" s="84" t="n">
        <x:v>0</x:v>
      </x:c>
      <x:c r="R39" s="82" t="str">
        <x:f>IF(J39="Complete","Review - workbook says Complete","Active backlog")</x:f>
        <x:v>Active backlog</x:v>
      </x:c>
      <x:c r="S39" s="82" t="str">
        <x:v>Intermittently throughout the day, the outlook add on that allows you to save emails to opps stops working and error messages "something happened when we tried to connect to the server". This has always happened, but it's been so much worse recently</x:v>
      </x:c>
    </x:row>
    <x:row r="40" ht="34" customHeight="1">
      <x:c r="A40" s="85" t="str">
        <x:v>00010086</x:v>
      </x:c>
      <x:c r="B40" s="82" t="str">
        <x:v>Notify the Opp owner when items are checked in?</x:v>
      </x:c>
      <x:c r="C40" s="81" t="str">
        <x:v>Claimed</x:v>
      </x:c>
      <x:c r="D40" s="81" t="str">
        <x:v>Medium</x:v>
      </x:c>
      <x:c r="E40" s="81" t="str">
        <x:v>Keith Fairburn</x:v>
      </x:c>
      <x:c r="F40" s="81" t="str">
        <x:v>Salesforce Idea</x:v>
      </x:c>
      <x:c r="G40" s="81" t="str">
        <x:v>OTHER</x:v>
      </x:c>
      <x:c r="H40" s="82" t="str">
        <x:v>New/Edit Workflows</x:v>
      </x:c>
      <x:c r="I40" s="82" t="str">
        <x:v>Not Yet Started</x:v>
      </x:c>
      <x:c r="J40" s="82" t="str">
        <x:v>Projects (Major and Minor)</x:v>
      </x:c>
      <x:c r="K40" s="82" t="str">
        <x:v>Sacha Pearce</x:v>
      </x:c>
      <x:c r="L40" s="83" t="n">
        <x:v>46163.75001157408</x:v>
      </x:c>
      <x:c r="M40" s="83" t="n">
        <x:v>46163.75001157408</x:v>
      </x:c>
      <x:c r="N40" s="84" t="n">
        <x:v>2</x:v>
      </x:c>
      <x:c r="O40" s="84" t="n">
        <x:v>1</x:v>
      </x:c>
      <x:c r="P40" s="84" t="n">
        <x:v>0</x:v>
      </x:c>
      <x:c r="Q40" s="84" t="n">
        <x:v>0</x:v>
      </x:c>
      <x:c r="R40" s="82" t="str">
        <x:f>IF(J40="Complete","Review - workbook says Complete","Active backlog")</x:f>
        <x:v>Active backlog</x:v>
      </x:c>
      <x:c r="S40" s="82" t="str">
        <x:v>When items are checked in on a Purchasing Opportunity can the Opportunity Owner get a notification or something?</x:v>
      </x:c>
    </x:row>
    <x:row r="41" ht="34" customHeight="1">
      <x:c r="A41" s="85" t="str">
        <x:v>00010128</x:v>
      </x:c>
      <x:c r="B41" s="82" t="str">
        <x:v>Prevent Product repairs on Customer repair assets</x:v>
      </x:c>
      <x:c r="C41" s="81" t="str">
        <x:v>Claimed</x:v>
      </x:c>
      <x:c r="D41" s="81" t="str">
        <x:v>Medium</x:v>
      </x:c>
      <x:c r="E41" s="81" t="str">
        <x:v>Jon Kean</x:v>
      </x:c>
      <x:c r="F41" s="81" t="str">
        <x:v>Salesforce Improvement</x:v>
      </x:c>
      <x:c r="G41" s="81" t="str">
        <x:v>Product Repair</x:v>
      </x:c>
      <x:c r="H41" s="82" t="str">
        <x:v>New/Edit Workflows, New/Edit Fields</x:v>
      </x:c>
      <x:c r="I41" s="82" t="str">
        <x:v>Not Yet Started</x:v>
      </x:c>
      <x:c r="J41" s="82" t="str">
        <x:v>Projects (Major and Minor)</x:v>
      </x:c>
      <x:c r="K41" s="82" t="str">
        <x:v>Sacha Pearce</x:v>
      </x:c>
      <x:c r="L41" s="83" t="n">
        <x:v>46177.64877314815</x:v>
      </x:c>
      <x:c r="M41" s="83" t="n">
        <x:v>46177.64879629629</x:v>
      </x:c>
      <x:c r="N41" s="84" t="n">
        <x:v>2</x:v>
      </x:c>
      <x:c r="O41" s="84" t="n">
        <x:v>1</x:v>
      </x:c>
      <x:c r="P41" s="84" t="n">
        <x:v>0</x:v>
      </x:c>
      <x:c r="Q41" s="84" t="n">
        <x:v>0</x:v>
      </x:c>
      <x:c r="R41" s="82" t="str">
        <x:f>IF(J41="Complete","Review - workbook says Complete","Active backlog")</x:f>
        <x:v>Active backlog</x:v>
      </x:c>
      <x:c r="S41" s="82" t="str">
        <x:v>Can we prevent inventory assets being consumed under product repairs on "Customer Repair" assets. This is because the cost doesn't log against the service contract</x:v>
      </x:c>
    </x:row>
    <x:row r="42" ht="34" customHeight="1">
      <x:c r="A42" s="85" t="str">
        <x:v>00010129</x:v>
      </x:c>
      <x:c r="B42" s="82" t="str">
        <x:v>Invoicing</x:v>
      </x:c>
      <x:c r="C42" s="81" t="str">
        <x:v>Claimed</x:v>
      </x:c>
      <x:c r="D42" s="81" t="str">
        <x:v>Medium</x:v>
      </x:c>
      <x:c r="E42" s="81" t="str">
        <x:v>Eric Floch</x:v>
      </x:c>
      <x:c r="F42" s="81" t="str">
        <x:v>Other</x:v>
      </x:c>
      <x:c r="G42" s="81" t="str">
        <x:v>Account</x:v>
      </x:c>
      <x:c r="H42" s="82" t="str">
        <x:v>New/Edit Workflows, New/Edit Fields</x:v>
      </x:c>
      <x:c r="I42" s="82" t="str">
        <x:v>Completed</x:v>
      </x:c>
      <x:c r="J42" s="82" t="str">
        <x:v>Complete</x:v>
      </x:c>
      <x:c r="K42" s="82" t="str">
        <x:v>Sacha Pearce</x:v>
      </x:c>
      <x:c r="L42" s="83" t="n">
        <x:v>46177.756527777776</x:v>
      </x:c>
      <x:c r="M42" s="83" t="n">
        <x:v>46177.75653935185</x:v>
      </x:c>
      <x:c r="N42" s="84" t="n">
        <x:v>2</x:v>
      </x:c>
      <x:c r="O42" s="84" t="n">
        <x:v>1</x:v>
      </x:c>
      <x:c r="P42" s="84" t="n">
        <x:v>0</x:v>
      </x:c>
      <x:c r="Q42" s="84" t="n">
        <x:v>0</x:v>
      </x:c>
      <x:c r="R42" s="82" t="str">
        <x:f>IF(J42="Complete","Review - workbook says Complete","Active backlog")</x:f>
        <x:v>Review - workbook says Complete</x:v>
      </x:c>
      <x:c r="S42" s="82" t="str">
        <x:v>adding name manualy of supplier on documents templates</x:v>
      </x:c>
    </x:row>
    <x:row r="43" ht="34" customHeight="1">
      <x:c r="A43" s="85" t="str">
        <x:v>00010132</x:v>
      </x:c>
      <x:c r="B43" s="82" t="str">
        <x:v>Loaner probe product name to pull into report</x:v>
      </x:c>
      <x:c r="C43" s="81" t="str">
        <x:v>Claimed</x:v>
      </x:c>
      <x:c r="D43" s="81" t="str">
        <x:v>Medium</x:v>
      </x:c>
      <x:c r="E43" s="81" t="str">
        <x:v>Matt Mooney</x:v>
      </x:c>
      <x:c r="F43" s="81" t="str">
        <x:v>Administrative (Reports &amp; Dashboards)</x:v>
      </x:c>
      <x:c r="G43" s="81" t="str">
        <x:v>Loaner/Loaner Asset</x:v>
      </x:c>
      <x:c r="H43" s="82" t="str">
        <x:v>New/Edit Fields</x:v>
      </x:c>
      <x:c r="I43" s="82" t="str">
        <x:v>Requirement Gathering</x:v>
      </x:c>
      <x:c r="J43" s="82" t="str">
        <x:v>Projects (Major and Minor)</x:v>
      </x:c>
      <x:c r="K43" s="82" t="str">
        <x:v>Mindy Bender</x:v>
      </x:c>
      <x:c r="L43" s="83" t="n">
        <x:v>46178.83943287037</x:v>
      </x:c>
      <x:c r="M43" s="83" t="n">
        <x:v>46198.20755787037</x:v>
      </x:c>
      <x:c r="N43" s="84" t="n">
        <x:v>4</x:v>
      </x:c>
      <x:c r="O43" s="84" t="n">
        <x:v>2</x:v>
      </x:c>
      <x:c r="P43" s="84" t="n">
        <x:v>0</x:v>
      </x:c>
      <x:c r="Q43" s="84" t="n">
        <x:v>0</x:v>
      </x:c>
      <x:c r="R43" s="82" t="str">
        <x:f>IF(J43="Complete","Review - workbook says Complete","Active backlog")</x:f>
        <x:v>Active backlog</x:v>
      </x:c>
      <x:c r="S43" s="82" t="str">
        <x:v>I cannot get the loaner model to pull into this report https://probomedical.lightning.force.com/lightning/r/Report/00ORo000004Q6dlMAC/view?queryScope=userFolders</x:v>
      </x:c>
    </x:row>
    <x:row r="44" ht="34" customHeight="1">
      <x:c r="A44" s="85" t="str">
        <x:v>00010148</x:v>
      </x:c>
      <x:c r="B44" s="82" t="str">
        <x:v>New Laptop</x:v>
      </x:c>
      <x:c r="C44" s="81" t="str">
        <x:v>Claimed</x:v>
      </x:c>
      <x:c r="D44" s="81" t="str">
        <x:v>Medium</x:v>
      </x:c>
      <x:c r="E44" s="81" t="str">
        <x:v>Ben Rice</x:v>
      </x:c>
      <x:c r="F44" s="81" t="str">
        <x:v>Administrative (Reports &amp; Dashboards)</x:v>
      </x:c>
      <x:c r="G44" s="81" t="str">
        <x:v>OTHER</x:v>
      </x:c>
      <x:c r="H44" s="82" t="str">
        <x:v>Custom</x:v>
      </x:c>
      <x:c r="I44" s="82" t="str">
        <x:v>?</x:v>
      </x:c>
      <x:c r="J44" s="82" t="str">
        <x:v>Errors &amp; Just do its</x:v>
      </x:c>
      <x:c r="K44" s="82" t="str">
        <x:v>Sacha Pearce</x:v>
      </x:c>
      <x:c r="L44" s="83" t="n">
        <x:v>46183.118483796294</x:v>
      </x:c>
      <x:c r="M44" s="83" t="n">
        <x:v>46183.118483796294</x:v>
      </x:c>
      <x:c r="N44" s="84" t="n">
        <x:v>2</x:v>
      </x:c>
      <x:c r="O44" s="84" t="n">
        <x:v>1</x:v>
      </x:c>
      <x:c r="P44" s="84" t="n">
        <x:v>0</x:v>
      </x:c>
      <x:c r="Q44" s="84" t="n">
        <x:v>0</x:v>
      </x:c>
      <x:c r="R44" s="82" t="str">
        <x:f>IF(J44="Complete","Review - workbook says Complete","Active backlog")</x:f>
        <x:v>Active backlog</x:v>
      </x:c>
      <x:c r="S44" s="82" t="str">
        <x:v>I've just got a new laptop and want to set up my navigation pane and set up my dashboard as my homepage, can you help with this?</x:v>
      </x:c>
    </x:row>
    <x:row r="45" ht="34" customHeight="1">
      <x:c r="A45" s="85" t="str">
        <x:v>00010149</x:v>
      </x:c>
      <x:c r="B45" s="82" t="str">
        <x:v>Add Loaner/Restock Fee Opp Credit Memo Field to Core Ex RMA</x:v>
      </x:c>
      <x:c r="C45" s="81" t="str">
        <x:v>Claimed</x:v>
      </x:c>
      <x:c r="D45" s="81" t="str">
        <x:v>Medium</x:v>
      </x:c>
      <x:c r="E45" s="81" t="str">
        <x:v>Ashley Madson</x:v>
      </x:c>
      <x:c r="F45" s="81" t="str">
        <x:v>Salesforce Improvement</x:v>
      </x:c>
      <x:c r="G45" s="81" t="str">
        <x:v>RMA</x:v>
      </x:c>
      <x:c r="H45" s="82" t="str">
        <x:v>New/Edit Fields</x:v>
      </x:c>
      <x:c r="I45" s="82" t="str">
        <x:v>Requirement Gathering</x:v>
      </x:c>
      <x:c r="J45" s="82" t="str">
        <x:v>Projects (Major and Minor)</x:v>
      </x:c>
      <x:c r="K45" s="82" t="str">
        <x:v>Mindy Bender</x:v>
      </x:c>
      <x:c r="L45" s="83" t="n">
        <x:v>46183.81890046296</x:v>
      </x:c>
      <x:c r="M45" s="83" t="n">
        <x:v>46198.21435185185</x:v>
      </x:c>
      <x:c r="N45" s="84" t="n">
        <x:v>4</x:v>
      </x:c>
      <x:c r="O45" s="84" t="n">
        <x:v>2</x:v>
      </x:c>
      <x:c r="P45" s="84" t="n">
        <x:v>0</x:v>
      </x:c>
      <x:c r="Q45" s="84" t="n">
        <x:v>0</x:v>
      </x:c>
      <x:c r="R45" s="82" t="str">
        <x:f>IF(J45="Complete","Review - workbook says Complete","Active backlog")</x:f>
        <x:v>Active backlog</x:v>
      </x:c>
      <x:c r="S45" s="82" t="str">
        <x:v>Add Loaner/Restock Fee Opp Credit Memo Field to Core Ex RMA - this will allow us to run a RMA report to see if the core was returned &amp; if we isssued a credit on the core  charge opportunity.</x:v>
      </x:c>
    </x:row>
    <x:row r="46" ht="34" customHeight="1">
      <x:c r="A46" s="85" t="str">
        <x:v>00010152</x:v>
      </x:c>
      <x:c r="B46" s="82" t="str">
        <x:v>Seems to be a lot of ex MI stock that hasn't been PA'd</x:v>
      </x:c>
      <x:c r="C46" s="81" t="str">
        <x:v>Claimed</x:v>
      </x:c>
      <x:c r="D46" s="81" t="str">
        <x:v>Medium</x:v>
      </x:c>
      <x:c r="E46" s="81" t="str">
        <x:v>Nicky Kean</x:v>
      </x:c>
      <x:c r="F46" s="81" t="str">
        <x:v>Salesforce Improvement</x:v>
      </x:c>
      <x:c r="G46" s="81" t="str">
        <x:v>Asset2</x:v>
      </x:c>
      <x:c r="H46" s="82" t="str">
        <x:v>BUG</x:v>
      </x:c>
      <x:c r="I46" s="82" t="str">
        <x:v>?</x:v>
      </x:c>
      <x:c r="J46" s="82" t="str">
        <x:v>Errors &amp; Just do its</x:v>
      </x:c>
      <x:c r="K46" s="82" t="str">
        <x:v>Sacha Pearce</x:v>
      </x:c>
      <x:c r="L46" s="83" t="n">
        <x:v>46183.91706018519</x:v>
      </x:c>
      <x:c r="M46" s="83" t="n">
        <x:v>46183.91706018519</x:v>
      </x:c>
      <x:c r="N46" s="84" t="n">
        <x:v>2</x:v>
      </x:c>
      <x:c r="O46" s="84" t="n">
        <x:v>1</x:v>
      </x:c>
      <x:c r="P46" s="84" t="n">
        <x:v>0</x:v>
      </x:c>
      <x:c r="Q46" s="84" t="n">
        <x:v>0</x:v>
      </x:c>
      <x:c r="R46" s="82" t="str">
        <x:f>IF(J46="Complete","Review - workbook says Complete","Active backlog")</x:f>
        <x:v>Active backlog</x:v>
      </x:c>
      <x:c r="S46" s="82" t="str">
        <x:v>Please run a report</x:v>
      </x:c>
    </x:row>
    <x:row r="47" ht="34" customHeight="1">
      <x:c r="A47" s="85" t="str">
        <x:v>00010158</x:v>
      </x:c>
      <x:c r="B47" s="82" t="str">
        <x:v>Need help with saving a RMA in Salesforce.  Receiving an error.</x:v>
      </x:c>
      <x:c r="C47" s="81" t="str">
        <x:v>Claimed</x:v>
      </x:c>
      <x:c r="D47" s="81" t="str">
        <x:v>Medium</x:v>
      </x:c>
      <x:c r="E47" s="81" t="str">
        <x:v>Lisa Litviak</x:v>
      </x:c>
      <x:c r="F47" s="81" t="str">
        <x:v>Salesforce Error</x:v>
      </x:c>
      <x:c r="G47" s="81" t="str">
        <x:v>RMA</x:v>
      </x:c>
      <x:c r="H47" s="82" t="str">
        <x:v>BUG</x:v>
      </x:c>
      <x:c r="I47" s="82" t="str">
        <x:v>x</x:v>
      </x:c>
      <x:c r="J47" s="82" t="str">
        <x:v>Errors &amp; Just do its</x:v>
      </x:c>
      <x:c r="K47" s="82" t="str">
        <x:v>Mindy Bender</x:v>
      </x:c>
      <x:c r="L47" s="83" t="n">
        <x:v>46184.93284722222</x:v>
      </x:c>
      <x:c r="M47" s="83" t="n">
        <x:v>46205.19464120371</x:v>
      </x:c>
      <x:c r="N47" s="84" t="n">
        <x:v>4</x:v>
      </x:c>
      <x:c r="O47" s="84" t="n">
        <x:v>2</x:v>
      </x:c>
      <x:c r="P47" s="84" t="n">
        <x:v>0</x:v>
      </x:c>
      <x:c r="Q47" s="84" t="n">
        <x:v>0</x:v>
      </x:c>
      <x:c r="R47" s="82" t="str">
        <x:f>IF(J47="Complete","Review - workbook says Complete","Active backlog")</x:f>
        <x:v>Active backlog</x:v>
      </x:c>
      <x:c r="S47" s="82" t="str">
        <x:v>Need help with saving a RMA in Salesforce.  Receiving an error.  RMA# A-206654 - P_RMATTrigger - entering this case for Diane Logue</x:v>
      </x:c>
    </x:row>
    <x:row r="48" ht="34" customHeight="1">
      <x:c r="A48" s="85" t="str">
        <x:v>00010166</x:v>
      </x:c>
      <x:c r="B48" s="82" t="str">
        <x:v>Wrong amount</x:v>
      </x:c>
      <x:c r="C48" s="81" t="str">
        <x:v>Claimed</x:v>
      </x:c>
      <x:c r="D48" s="81" t="str">
        <x:v>Medium</x:v>
      </x:c>
      <x:c r="E48" s="81" t="str">
        <x:v>Gina Olson</x:v>
      </x:c>
      <x:c r="F48" s="81" t="str">
        <x:v>Other</x:v>
      </x:c>
      <x:c r="G48" s="81" t="str">
        <x:v>Product</x:v>
      </x:c>
      <x:c r="H48" s="82" t="str">
        <x:v>Data</x:v>
      </x:c>
      <x:c r="I48" s="82" t="str">
        <x:v>Design</x:v>
      </x:c>
      <x:c r="J48" s="82" t="str">
        <x:v>Errors &amp; Just do its</x:v>
      </x:c>
      <x:c r="K48" s="82" t="str">
        <x:v>Mindy Bender</x:v>
      </x:c>
      <x:c r="L48" s="83" t="n">
        <x:v>46188.83143518519</x:v>
      </x:c>
      <x:c r="M48" s="83" t="n">
        <x:v>46205.180625</x:v>
      </x:c>
      <x:c r="N48" s="84" t="n">
        <x:v>2</x:v>
      </x:c>
      <x:c r="O48" s="84" t="n">
        <x:v>1</x:v>
      </x:c>
      <x:c r="P48" s="84" t="n">
        <x:v>0</x:v>
      </x:c>
      <x:c r="Q48" s="84" t="n">
        <x:v>0</x:v>
      </x:c>
      <x:c r="R48" s="82" t="str">
        <x:f>IF(J48="Complete","Review - workbook says Complete","Active backlog")</x:f>
        <x:v>Active backlog</x:v>
      </x:c>
      <x:c r="S48" s="82" t="str">
        <x:v>This order was closed at $0, when it should have been closed at $2200</x:v>
      </x:c>
    </x:row>
    <x:row r="49" ht="34" customHeight="1">
      <x:c r="A49" s="85" t="str">
        <x:v>00010169</x:v>
      </x:c>
      <x:c r="B49" s="82" t="str">
        <x:v>Product Add Clone Option</x:v>
      </x:c>
      <x:c r="C49" s="81" t="str">
        <x:v>Claimed</x:v>
      </x:c>
      <x:c r="D49" s="81" t="str">
        <x:v>Medium</x:v>
      </x:c>
      <x:c r="E49" s="81" t="str">
        <x:v>Gretchen Scarborough</x:v>
      </x:c>
      <x:c r="F49" s="81" t="str">
        <x:v>Salesforce Improvement</x:v>
      </x:c>
      <x:c r="G49" s="81" t="str">
        <x:v>Product</x:v>
      </x:c>
      <x:c r="H49" s="82" t="str">
        <x:v>New/Edit Workflows</x:v>
      </x:c>
      <x:c r="I49" s="82" t="str">
        <x:v>Not Yet Started</x:v>
      </x:c>
      <x:c r="J49" s="82" t="str">
        <x:v>Projects (Major and Minor)</x:v>
      </x:c>
      <x:c r="K49" s="82" t="str">
        <x:v>Mindy Bender</x:v>
      </x:c>
      <x:c r="L49" s="83" t="n">
        <x:v>46189.79451388889</x:v>
      </x:c>
      <x:c r="M49" s="83" t="n">
        <x:v>46214.01967592593</x:v>
      </x:c>
      <x:c r="N49" s="84" t="n">
        <x:v>4</x:v>
      </x:c>
      <x:c r="O49" s="84" t="n">
        <x:v>2</x:v>
      </x:c>
      <x:c r="P49" s="84" t="n">
        <x:v>0</x:v>
      </x:c>
      <x:c r="Q49" s="84" t="n">
        <x:v>0</x:v>
      </x:c>
      <x:c r="R49" s="82" t="str">
        <x:f>IF(J49="Complete","Review - workbook says Complete","Active backlog")</x:f>
        <x:v>Active backlog</x:v>
      </x:c>
      <x:c r="S49" s="82" t="str">
        <x:v>Product Add Clone Option / Can we get a option in product add where we can clone the product or duplicate? It would make it easier to add products that are similar with just a different number - thanks!</x:v>
      </x:c>
    </x:row>
    <x:row r="50" ht="34" customHeight="1">
      <x:c r="A50" s="85" t="str">
        <x:v>00010194</x:v>
      </x:c>
      <x:c r="B50" s="82" t="str">
        <x:v>RMA automation change</x:v>
      </x:c>
      <x:c r="C50" s="81" t="str">
        <x:v>Claimed</x:v>
      </x:c>
      <x:c r="D50" s="81" t="str">
        <x:v>Medium</x:v>
      </x:c>
      <x:c r="E50" s="81" t="str">
        <x:v>Jon Kean</x:v>
      </x:c>
      <x:c r="F50" s="81" t="str">
        <x:v>Other</x:v>
      </x:c>
      <x:c r="G50" s="81" t="str">
        <x:v>RMA</x:v>
      </x:c>
      <x:c r="H50" s="82" t="str">
        <x:v>New/Edit Workflows</x:v>
      </x:c>
      <x:c r="I50" s="82" t="str">
        <x:v>?</x:v>
      </x:c>
      <x:c r="J50" s="82" t="str">
        <x:v>Errors &amp; Just do its</x:v>
      </x:c>
      <x:c r="K50" s="82" t="str">
        <x:v>Sacha Pearce</x:v>
      </x:c>
      <x:c r="L50" s="83" t="n">
        <x:v>46196.55403935185</x:v>
      </x:c>
      <x:c r="M50" s="83" t="n">
        <x:v>46196.566099537034</x:v>
      </x:c>
      <x:c r="N50" s="84" t="n">
        <x:v>4</x:v>
      </x:c>
      <x:c r="O50" s="84" t="n">
        <x:v>2</x:v>
      </x:c>
      <x:c r="P50" s="84" t="n">
        <x:v>1</x:v>
      </x:c>
      <x:c r="Q50" s="84" t="n">
        <x:v>0</x:v>
      </x:c>
      <x:c r="R50" s="82" t="str">
        <x:f>IF(J50="Complete","Review - workbook says Complete","Active backlog")</x:f>
        <x:v>Active backlog</x:v>
      </x:c>
      <x:c r="S50" s="82" t="str">
        <x:v>Logged by Katy Base:
Hi Jon, has something changed in the way items are booked in on RMAs do you know? It seems to be happening a lot now that when stores book something in, the asset is already reserved by one of them when I come to use it and I have to contact them to get this changed. I've just had 2 that were reserved by Keil, I've asked them to unreserve them and they are now both reserved by Marcus! So I'm guessing there's been some sort of change on SF that is doing this?
Examples:
A-210730 and A-210731</x:v>
      </x:c>
    </x:row>
    <x:row r="51" ht="34" customHeight="1">
      <x:c r="A51" s="85" t="str">
        <x:v>00010197</x:v>
      </x:c>
      <x:c r="B51" s="82" t="str">
        <x:v>Multiple reports no longer visible</x:v>
      </x:c>
      <x:c r="C51" s="81" t="str">
        <x:v>Claimed</x:v>
      </x:c>
      <x:c r="D51" s="81" t="str">
        <x:v>Medium</x:v>
      </x:c>
      <x:c r="E51" s="81" t="str">
        <x:v>Stephen Glasgow</x:v>
      </x:c>
      <x:c r="F51" s="81" t="str">
        <x:v>Administrative (Reports &amp; Dashboards)</x:v>
      </x:c>
      <x:c r="G51" s="81" t="str">
        <x:v>OTHER</x:v>
      </x:c>
      <x:c r="H51" s="82" t="str">
        <x:v>Reports</x:v>
      </x:c>
      <x:c r="I51" s="82" t="str">
        <x:v>?</x:v>
      </x:c>
      <x:c r="J51" s="82" t="str">
        <x:v>Errors &amp; Just do its</x:v>
      </x:c>
      <x:c r="K51" s="82" t="str">
        <x:v>Sacha Pearce</x:v>
      </x:c>
      <x:c r="L51" s="83" t="n">
        <x:v>46197.57609953704</x:v>
      </x:c>
      <x:c r="M51" s="83" t="n">
        <x:v>46197.57612268518</x:v>
      </x:c>
      <x:c r="N51" s="84" t="n">
        <x:v>2</x:v>
      </x:c>
      <x:c r="O51" s="84" t="n">
        <x:v>1</x:v>
      </x:c>
      <x:c r="P51" s="84" t="n">
        <x:v>0</x:v>
      </x:c>
      <x:c r="Q51" s="84" t="n">
        <x:v>0</x:v>
      </x:c>
      <x:c r="R51" s="82" t="str">
        <x:f>IF(J51="Complete","Review - workbook says Complete","Active backlog")</x:f>
        <x:v>Active backlog</x:v>
      </x:c>
      <x:c r="S51" s="82" t="str">
        <x:v>Message "the report definition is obsolete..."</x:v>
      </x:c>
    </x:row>
    <x:row r="52" ht="34" customHeight="1">
      <x:c r="A52" s="85" t="str">
        <x:v>00010216</x:v>
      </x:c>
      <x:c r="B52" s="82" t="str">
        <x:v>Product Analytics page for parts are all in GBP instead of USD.</x:v>
      </x:c>
      <x:c r="C52" s="81" t="str">
        <x:v>Claimed</x:v>
      </x:c>
      <x:c r="D52" s="81" t="str">
        <x:v>Medium</x:v>
      </x:c>
      <x:c r="E52" s="81" t="str">
        <x:v>Richard Gerler</x:v>
      </x:c>
      <x:c r="F52" s="81" t="str">
        <x:v>Salesforce Error</x:v>
      </x:c>
      <x:c r="G52" s="81" t="str">
        <x:v>Product</x:v>
      </x:c>
      <x:c r="H52" s="82" t="str">
        <x:v>Data</x:v>
      </x:c>
      <x:c r="I52" s="82" t="str">
        <x:v>?</x:v>
      </x:c>
      <x:c r="J52" s="82" t="str">
        <x:v>Errors &amp; Just do its</x:v>
      </x:c>
      <x:c r="K52" s="82" t="str">
        <x:v>Sacha Pearce</x:v>
      </x:c>
      <x:c r="L52" s="83" t="n">
        <x:v>46197.82784722222</x:v>
      </x:c>
      <x:c r="M52" s="83" t="n">
        <x:v>46255.85076388889</x:v>
      </x:c>
      <x:c r="N52" s="84" t="n">
        <x:v>2</x:v>
      </x:c>
      <x:c r="O52" s="84" t="n">
        <x:v>1</x:v>
      </x:c>
      <x:c r="P52" s="84" t="n">
        <x:v>0</x:v>
      </x:c>
      <x:c r="Q52" s="84" t="n">
        <x:v>0</x:v>
      </x:c>
      <x:c r="R52" s="82" t="str">
        <x:f>IF(J52="Complete","Review - workbook says Complete","Active backlog")</x:f>
        <x:v>Active backlog</x:v>
      </x:c>
      <x:c r="S52" s="82" t="str">
        <x:v>This is a conflict with the Product page</x:v>
      </x:c>
    </x:row>
    <x:row r="53" ht="34" customHeight="1">
      <x:c r="A53" s="85" t="str">
        <x:v>00010264</x:v>
      </x:c>
      <x:c r="B53" s="82" t="str">
        <x:v>Published Rates for Shipments</x:v>
      </x:c>
      <x:c r="C53" s="81" t="str">
        <x:v>Claimed</x:v>
      </x:c>
      <x:c r="D53" s="81" t="str">
        <x:v>Medium</x:v>
      </x:c>
      <x:c r="E53" s="81" t="str">
        <x:v>Dylan Buchanan</x:v>
      </x:c>
      <x:c r="F53" s="81" t="str">
        <x:v>Salesforce Improvement</x:v>
      </x:c>
      <x:c r="G53" s="81" t="str">
        <x:v>Shipment/ZenKraft</x:v>
      </x:c>
      <x:c r="H53" s="82" t="str">
        <x:v>New/Edit Workflows</x:v>
      </x:c>
      <x:c r="I53" s="82" t="str">
        <x:v>Not Yet Started</x:v>
      </x:c>
      <x:c r="J53" s="82" t="str">
        <x:v>Projects (Major and Minor)</x:v>
      </x:c>
      <x:c r="K53" s="82" t="str">
        <x:v>Mindy Bender</x:v>
      </x:c>
      <x:c r="L53" s="83" t="n">
        <x:v>46199.85900462963</x:v>
      </x:c>
      <x:c r="M53" s="83" t="n">
        <x:v>46214.01967592593</x:v>
      </x:c>
      <x:c r="N53" s="84" t="n">
        <x:v>3</x:v>
      </x:c>
      <x:c r="O53" s="84" t="n">
        <x:v>2</x:v>
      </x:c>
      <x:c r="P53" s="84" t="n">
        <x:v>0</x:v>
      </x:c>
      <x:c r="Q53" s="84" t="n">
        <x:v>0</x:v>
      </x:c>
      <x:c r="R53" s="82" t="str">
        <x:f>IF(J53="Complete","Review - workbook says Complete","Active backlog")</x:f>
        <x:v>Active backlog</x:v>
      </x:c>
      <x:c r="S53" s="82" t="str">
        <x:v>Would like for Published Rates from Shipments to be populated when billing our 108075996 acct via Third Party.</x:v>
      </x:c>
    </x:row>
    <x:row r="54" ht="34" customHeight="1">
      <x:c r="A54" s="85" t="str">
        <x:v>00010291</x:v>
      </x:c>
      <x:c r="B54" s="82" t="str">
        <x:v>Problems creating an asset</x:v>
      </x:c>
      <x:c r="C54" s="81" t="str">
        <x:v>Claimed</x:v>
      </x:c>
      <x:c r="D54" s="81" t="str">
        <x:v>Medium</x:v>
      </x:c>
      <x:c r="E54" s="81" t="str">
        <x:v>Dominick Vena</x:v>
      </x:c>
      <x:c r="F54" s="81" t="str">
        <x:v>Salesforce Improvement</x:v>
      </x:c>
      <x:c r="G54" s="81" t="str">
        <x:v>Asset2</x:v>
      </x:c>
      <x:c r="H54" s="82" t="str">
        <x:v>New/Edit Workflows</x:v>
      </x:c>
      <x:c r="I54" s="82" t="str">
        <x:v>Design</x:v>
      </x:c>
      <x:c r="J54" s="82" t="str">
        <x:v>Projects (Major and Minor)</x:v>
      </x:c>
      <x:c r="K54" s="82" t="str">
        <x:v>Mindy Bender</x:v>
      </x:c>
      <x:c r="L54" s="83" t="n">
        <x:v>46209.734398148146</x:v>
      </x:c>
      <x:c r="M54" s="83" t="n">
        <x:v>46213.99594907407</x:v>
      </x:c>
      <x:c r="N54" s="84" t="n">
        <x:v>3</x:v>
      </x:c>
      <x:c r="O54" s="84" t="n">
        <x:v>2</x:v>
      </x:c>
      <x:c r="P54" s="84" t="n">
        <x:v>0</x:v>
      </x:c>
      <x:c r="Q54" s="84" t="n">
        <x:v>0</x:v>
      </x:c>
      <x:c r="R54" s="82" t="str">
        <x:f>IF(J54="Complete","Review - workbook says Complete","Active backlog")</x:f>
        <x:v>Active backlog</x:v>
      </x:c>
      <x:c r="S54" s="82" t="str">
        <x:v>Product name field listed twice. Can we remove the one towards the bottom? Will save us some time and frustration.</x:v>
      </x:c>
    </x:row>
    <x:row r="55" ht="34" customHeight="1">
      <x:c r="A55" s="85" t="str">
        <x:v>00010292</x:v>
      </x:c>
      <x:c r="B55" s="82" t="str">
        <x:v>Assets being added to OPP</x:v>
      </x:c>
      <x:c r="C55" s="81" t="str">
        <x:v>Claimed</x:v>
      </x:c>
      <x:c r="D55" s="81" t="str">
        <x:v>Medium</x:v>
      </x:c>
      <x:c r="E55" s="81" t="str">
        <x:v>Gretchen Scarborough</x:v>
      </x:c>
      <x:c r="F55" s="81" t="str">
        <x:v>Salesforce Error</x:v>
      </x:c>
      <x:c r="G55" s="81" t="str">
        <x:v>Asset2</x:v>
      </x:c>
      <x:c r="H55" s="82" t="str">
        <x:v>New/Edit Workflows</x:v>
      </x:c>
      <x:c r="I55" s="82" t="str">
        <x:v>Design</x:v>
      </x:c>
      <x:c r="J55" s="82" t="str">
        <x:v>Errors &amp; Just do its</x:v>
      </x:c>
      <x:c r="K55" s="82" t="str">
        <x:v>Mindy Bender</x:v>
      </x:c>
      <x:c r="L55" s="83" t="n">
        <x:v>46209.81377314815</x:v>
      </x:c>
      <x:c r="M55" s="83" t="n">
        <x:v>46211.92827546296</x:v>
      </x:c>
      <x:c r="N55" s="84" t="n">
        <x:v>4</x:v>
      </x:c>
      <x:c r="O55" s="84" t="n">
        <x:v>2</x:v>
      </x:c>
      <x:c r="P55" s="84" t="n">
        <x:v>0</x:v>
      </x:c>
      <x:c r="Q55" s="84" t="n">
        <x:v>0</x:v>
      </x:c>
      <x:c r="R55" s="82" t="str">
        <x:f>IF(J55="Complete","Review - workbook says Complete","Active backlog")</x:f>
        <x:v>Active backlog</x:v>
      </x:c>
      <x:c r="S55" s="82" t="str">
        <x:v>Save and Close option does not work anymore - we have to hit cancel to go back to OPP.</x:v>
      </x:c>
    </x:row>
    <x:row r="56" ht="34" customHeight="1">
      <x:c r="A56" s="85" t="str">
        <x:v>00010296</x:v>
      </x:c>
      <x:c r="B56" s="82" t="str">
        <x:v>Remove access for Tim Cheese</x:v>
      </x:c>
      <x:c r="C56" s="81" t="str">
        <x:v>Claimed</x:v>
      </x:c>
      <x:c r="D56" s="81" t="str">
        <x:v>Medium</x:v>
      </x:c>
      <x:c r="E56" s="81" t="str">
        <x:v>Jon Kean</x:v>
      </x:c>
      <x:c r="F56" s="81" t="str">
        <x:v>Other</x:v>
      </x:c>
      <x:c r="G56" s="81" t="str">
        <x:v>Product Test</x:v>
      </x:c>
      <x:c r="H56" s="82" t="str">
        <x:v>Validation Rules/Access</x:v>
      </x:c>
      <x:c r="I56" s="82" t="str">
        <x:v>Not Yet Started</x:v>
      </x:c>
      <x:c r="J56" s="82" t="str">
        <x:v>Projects (Major and Minor)</x:v>
      </x:c>
      <x:c r="K56" s="82" t="str">
        <x:v>Sacha Pearce</x:v>
      </x:c>
      <x:c r="L56" s="83" t="n">
        <x:v>46210.65275462963</x:v>
      </x:c>
      <x:c r="M56" s="83" t="n">
        <x:v>46210.652766203704</x:v>
      </x:c>
      <x:c r="N56" s="84" t="n">
        <x:v>2</x:v>
      </x:c>
      <x:c r="O56" s="84" t="n">
        <x:v>1</x:v>
      </x:c>
      <x:c r="P56" s="84" t="n">
        <x:v>0</x:v>
      </x:c>
      <x:c r="Q56" s="84" t="n">
        <x:v>0</x:v>
      </x:c>
      <x:c r="R56" s="82" t="str">
        <x:f>IF(J56="Complete","Review - workbook says Complete","Active backlog")</x:f>
        <x:v>Active backlog</x:v>
      </x:c>
      <x:c r="S56" s="82" t="str">
        <x:v>Can you remove acces for Tim to amend product tests once they are completed. Same with all workshop staff</x:v>
      </x:c>
    </x:row>
    <x:row r="57" ht="34" customHeight="1">
      <x:c r="A57" s="85" t="str">
        <x:v>00010304</x:v>
      </x:c>
      <x:c r="B57" s="82" t="str">
        <x:v>Purchasing Returns</x:v>
      </x:c>
      <x:c r="C57" s="81" t="str">
        <x:v>Claimed</x:v>
      </x:c>
      <x:c r="D57" s="81" t="str">
        <x:v>Medium</x:v>
      </x:c>
      <x:c r="E57" s="81" t="str">
        <x:v>Aaron Poston</x:v>
      </x:c>
      <x:c r="F57" s="81" t="str">
        <x:v>Other</x:v>
      </x:c>
      <x:c r="G57" s="81" t="str">
        <x:v>Purchasing Return</x:v>
      </x:c>
      <x:c r="H57" s="82" t="str">
        <x:v>New/Edit Workflows</x:v>
      </x:c>
      <x:c r="I57" s="82" t="str">
        <x:v>Design</x:v>
      </x:c>
      <x:c r="J57" s="82" t="str">
        <x:v>Complete</x:v>
      </x:c>
      <x:c r="K57" s="82" t="str">
        <x:v>Mindy Bender</x:v>
      </x:c>
      <x:c r="L57" s="83" t="n">
        <x:v>46211.08219907407</x:v>
      </x:c>
      <x:c r="M57" s="83" t="n">
        <x:v>46212.08194444444</x:v>
      </x:c>
      <x:c r="N57" s="84" t="n">
        <x:v>6</x:v>
      </x:c>
      <x:c r="O57" s="84" t="n">
        <x:v>1</x:v>
      </x:c>
      <x:c r="P57" s="84" t="n">
        <x:v>0</x:v>
      </x:c>
      <x:c r="Q57" s="84" t="n">
        <x:v>0</x:v>
      </x:c>
      <x:c r="R57" s="82" t="str">
        <x:f>IF(J57="Complete","Review - workbook says Complete","Active backlog")</x:f>
        <x:v>Review - workbook says Complete</x:v>
      </x:c>
      <x:c r="S57" s="82" t="str">
        <x:v>Can we please have the Ship From field removed from the Shipping section.(Open Text Box).  Op creators should be utilizing the Shipping FROM Location during PR creation.  We have had issues with the reporting and populating of PR's onto the shipping dash as op creators are able to type anything into the Ship From field.  If we can eliminate this field they will be required to use the dropdown options listed on the Shipping FROM Location.
Additionally, we are not receiving any auto-generated emails from SF upon completion of PR's.  The other Opportunity types auto send an email upon completion to the Op Owner and the person who completes the shipping of the op.</x:v>
      </x:c>
    </x:row>
    <x:row r="58" ht="34" customHeight="1">
      <x:c r="A58" s="85" t="str">
        <x:v>00010321</x:v>
      </x:c>
      <x:c r="B58" s="82" t="str">
        <x:v>Automated email not being sent on UK Warehouse Request</x:v>
      </x:c>
      <x:c r="C58" s="81" t="str">
        <x:v>Claimed</x:v>
      </x:c>
      <x:c r="D58" s="81" t="str">
        <x:v>Medium</x:v>
      </x:c>
      <x:c r="E58" s="81" t="str">
        <x:v>Jon Kean</x:v>
      </x:c>
      <x:c r="F58" s="81" t="str">
        <x:v>Other</x:v>
      </x:c>
      <x:c r="G58" s="81" t="str">
        <x:v>Case</x:v>
      </x:c>
      <x:c r="H58" s="82" t="str">
        <x:v>New/Edit Workflows</x:v>
      </x:c>
      <x:c r="I58" s="82" t="str">
        <x:v>?</x:v>
      </x:c>
      <x:c r="J58" s="82" t="str">
        <x:v>Errors &amp; Just do its</x:v>
      </x:c>
      <x:c r="K58" s="82" t="str">
        <x:v>Sacha Pearce</x:v>
      </x:c>
      <x:c r="L58" s="83" t="n">
        <x:v>46212.68482638889</x:v>
      </x:c>
      <x:c r="M58" s="83" t="n">
        <x:v>46212.68483796297</x:v>
      </x:c>
      <x:c r="N58" s="84" t="n">
        <x:v>2</x:v>
      </x:c>
      <x:c r="O58" s="84" t="n">
        <x:v>1</x:v>
      </x:c>
      <x:c r="P58" s="84" t="n">
        <x:v>0</x:v>
      </x:c>
      <x:c r="Q58" s="84" t="n">
        <x:v>0</x:v>
      </x:c>
      <x:c r="R58" s="82" t="str">
        <x:f>IF(J58="Complete","Review - workbook says Complete","Active backlog")</x:f>
        <x:v>Active backlog</x:v>
      </x:c>
      <x:c r="S58" s="82" t="str">
        <x:v>A confirmation email that a case has been raised is not being sent on creation</x:v>
      </x:c>
    </x:row>
    <x:row r="59" ht="34" customHeight="1">
      <x:c r="A59" s="85" t="str">
        <x:v>00010341</x:v>
      </x:c>
      <x:c r="B59" s="82" t="str">
        <x:v>Combine duplicate accounts</x:v>
      </x:c>
      <x:c r="C59" s="81" t="str">
        <x:v>Claimed</x:v>
      </x:c>
      <x:c r="D59" s="81" t="str">
        <x:v>Medium</x:v>
      </x:c>
      <x:c r="E59" s="81" t="str">
        <x:v>Julie Nickerson</x:v>
      </x:c>
      <x:c r="F59" s="81" t="str">
        <x:v>Other</x:v>
      </x:c>
      <x:c r="G59" s="81" t="str">
        <x:v>Account</x:v>
      </x:c>
      <x:c r="H59" s="82" t="str">
        <x:v>Data</x:v>
      </x:c>
      <x:c r="I59" s="82" t="str">
        <x:v>Design</x:v>
      </x:c>
      <x:c r="J59" s="82" t="str">
        <x:v>Errors &amp; Just do its</x:v>
      </x:c>
      <x:c r="K59" s="82" t="str">
        <x:v>Mindy Bender</x:v>
      </x:c>
      <x:c r="L59" s="83" t="n">
        <x:v>46216.95384259259</x:v>
      </x:c>
      <x:c r="M59" s="83" t="n">
        <x:v>46220.96362268519</x:v>
      </x:c>
      <x:c r="N59" s="84" t="n">
        <x:v>4</x:v>
      </x:c>
      <x:c r="O59" s="84" t="n">
        <x:v>1</x:v>
      </x:c>
      <x:c r="P59" s="84" t="n">
        <x:v>0</x:v>
      </x:c>
      <x:c r="Q59" s="84" t="n">
        <x:v>0</x:v>
      </x:c>
      <x:c r="R59" s="82" t="str">
        <x:f>IF(J59="Complete","Review - workbook says Complete","Active backlog")</x:f>
        <x:v>Active backlog</x:v>
      </x:c>
      <x:c r="S59" s="82" t="str">
        <x:v>Please combine accounts keeping C-016029 as the main account.</x:v>
      </x:c>
    </x:row>
    <x:row r="60" ht="34" customHeight="1">
      <x:c r="A60" s="85" t="str">
        <x:v>00010361</x:v>
      </x:c>
      <x:c r="B60" s="82" t="str">
        <x:v>PRODUCTS</x:v>
      </x:c>
      <x:c r="C60" s="81" t="str">
        <x:v>Claimed</x:v>
      </x:c>
      <x:c r="D60" s="81" t="str">
        <x:v>Medium</x:v>
      </x:c>
      <x:c r="E60" s="81" t="str">
        <x:v>Gretchen Scarborough</x:v>
      </x:c>
      <x:c r="F60" s="81" t="str">
        <x:v>Salesforce Improvement</x:v>
      </x:c>
      <x:c r="G60" s="81" t="str">
        <x:v>Product</x:v>
      </x:c>
      <x:c r="H60" s="82" t="str">
        <x:v>New/Edit Workflows, New/Edit Fields</x:v>
      </x:c>
      <x:c r="I60" s="82" t="str">
        <x:v>Requirement Gathering</x:v>
      </x:c>
      <x:c r="J60" s="82" t="str">
        <x:v>Projects (Major and Minor)</x:v>
      </x:c>
      <x:c r="K60" s="82" t="str">
        <x:v>Mindy Bender</x:v>
      </x:c>
      <x:c r="L60" s="83" t="n">
        <x:v>46218.89929398148</x:v>
      </x:c>
      <x:c r="M60" s="83" t="n">
        <x:v>46240.21351851852</x:v>
      </x:c>
      <x:c r="N60" s="84" t="n">
        <x:v>3</x:v>
      </x:c>
      <x:c r="O60" s="84" t="n">
        <x:v>2</x:v>
      </x:c>
      <x:c r="P60" s="84" t="n">
        <x:v>0</x:v>
      </x:c>
      <x:c r="Q60" s="84" t="n">
        <x:v>0</x:v>
      </x:c>
      <x:c r="R60" s="82" t="str">
        <x:f>IF(J60="Complete","Review - workbook says Complete","Active backlog")</x:f>
        <x:v>Active backlog</x:v>
      </x:c>
      <x:c r="S60" s="82" t="str">
        <x:v>adding a outright or exchange drop down choice in products</x:v>
      </x:c>
    </x:row>
    <x:row r="61" ht="34" customHeight="1">
      <x:c r="A61" s="85" t="str">
        <x:v>00010374</x:v>
      </x:c>
      <x:c r="B61" s="82" t="str">
        <x:v>all ultrasound PPM service appointments are 4 hours</x:v>
      </x:c>
      <x:c r="C61" s="81" t="str">
        <x:v>Claimed</x:v>
      </x:c>
      <x:c r="D61" s="81" t="str">
        <x:v>Medium</x:v>
      </x:c>
      <x:c r="E61" s="81" t="str">
        <x:v>Karla Stancombe</x:v>
      </x:c>
      <x:c r="F61" s="81" t="str">
        <x:v>Salesforce Improvement</x:v>
      </x:c>
      <x:c r="G61" s="81" t="str">
        <x:v>Work Order</x:v>
      </x:c>
      <x:c r="H61" s="82" t="str">
        <x:v>New/Edit Workflows</x:v>
      </x:c>
      <x:c r="I61" s="82" t="str">
        <x:v>?</x:v>
      </x:c>
      <x:c r="J61" s="82" t="str">
        <x:v>Errors &amp; Just do its</x:v>
      </x:c>
      <x:c r="K61" s="82" t="str">
        <x:v>Sacha Pearce</x:v>
      </x:c>
      <x:c r="L61" s="83" t="n">
        <x:v>46220.6781712963</x:v>
      </x:c>
      <x:c r="M61" s="83" t="n">
        <x:v>46220.6781712963</x:v>
      </x:c>
      <x:c r="N61" s="84" t="n">
        <x:v>2</x:v>
      </x:c>
      <x:c r="O61" s="84" t="n">
        <x:v>1</x:v>
      </x:c>
      <x:c r="P61" s="84" t="n">
        <x:v>0</x:v>
      </x:c>
      <x:c r="Q61" s="84" t="n">
        <x:v>0</x:v>
      </x:c>
      <x:c r="R61" s="82" t="str">
        <x:f>IF(J61="Complete","Review - workbook says Complete","Active backlog")</x:f>
        <x:v>Active backlog</x:v>
      </x:c>
      <x:c r="S61" s="82" t="str">
        <x:v>Can we alter the duration of ultrasound PPM service appointments to 2 hours rather than 4</x:v>
      </x:c>
    </x:row>
    <x:row r="62" ht="34" customHeight="1">
      <x:c r="A62" s="85" t="str">
        <x:v>00010377</x:v>
      </x:c>
      <x:c r="B62" s="82" t="str">
        <x:v>Add No Budget to Reasons for Unqualified UK</x:v>
      </x:c>
      <x:c r="C62" s="81" t="str">
        <x:v>Claimed</x:v>
      </x:c>
      <x:c r="D62" s="81" t="str">
        <x:v>Medium</x:v>
      </x:c>
      <x:c r="E62" s="81" t="str">
        <x:v>Brian Gill</x:v>
      </x:c>
      <x:c r="F62" s="81" t="str">
        <x:v>Administrative (Reports &amp; Dashboards)</x:v>
      </x:c>
      <x:c r="G62" s="81" t="str">
        <x:v>Lead</x:v>
      </x:c>
      <x:c r="H62" s="82" t="str">
        <x:v>Data</x:v>
      </x:c>
      <x:c r="I62" s="82" t="str">
        <x:v>Build/Test/Deploy</x:v>
      </x:c>
      <x:c r="J62" s="82" t="str">
        <x:v>Errors &amp; Just do its</x:v>
      </x:c>
      <x:c r="K62" s="82" t="str">
        <x:v>Mindy Bender</x:v>
      </x:c>
      <x:c r="L62" s="83" t="n">
        <x:v>46220.79951388889</x:v>
      </x:c>
      <x:c r="M62" s="83" t="n">
        <x:v>46220.9525462963</x:v>
      </x:c>
      <x:c r="N62" s="84" t="n">
        <x:v>4</x:v>
      </x:c>
      <x:c r="O62" s="84" t="n">
        <x:v>2</x:v>
      </x:c>
      <x:c r="P62" s="84" t="n">
        <x:v>5</x:v>
      </x:c>
      <x:c r="Q62" s="84" t="n">
        <x:v>0</x:v>
      </x:c>
      <x:c r="R62" s="82" t="str">
        <x:f>IF(J62="Complete","Review - workbook says Complete","Active backlog")</x:f>
        <x:v>Active backlog</x:v>
      </x:c>
      <x:c r="S62" s="82" t="str">
        <x:v>Please add "No Budget" as a Reasons for Unqualified when users unqualify a lead</x:v>
      </x:c>
    </x:row>
    <x:row r="63" ht="34" customHeight="1">
      <x:c r="A63" s="85" t="str">
        <x:v>00010378</x:v>
      </x:c>
      <x:c r="B63" s="82" t="str">
        <x:v>RMA NOTIFICATION FOR CORES</x:v>
      </x:c>
      <x:c r="C63" s="81" t="str">
        <x:v>Claimed</x:v>
      </x:c>
      <x:c r="D63" s="81" t="str">
        <x:v>Medium</x:v>
      </x:c>
      <x:c r="E63" s="81" t="str">
        <x:v>Gretchen Scarborough</x:v>
      </x:c>
      <x:c r="F63" s="81" t="str">
        <x:v>Salesforce Improvement</x:v>
      </x:c>
      <x:c r="G63" s="81" t="str">
        <x:v>RMA</x:v>
      </x:c>
      <x:c r="H63" s="82" t="str">
        <x:v>New/Edit Workflows, New/Edit Fields</x:v>
      </x:c>
      <x:c r="I63" s="82" t="str">
        <x:v>Requirement Gathering</x:v>
      </x:c>
      <x:c r="J63" s="82" t="str">
        <x:v>Projects (Major and Minor)</x:v>
      </x:c>
      <x:c r="K63" s="82" t="str">
        <x:v>Mindy Bender</x:v>
      </x:c>
      <x:c r="L63" s="83" t="n">
        <x:v>46220.83131944444</x:v>
      </x:c>
      <x:c r="M63" s="83" t="n">
        <x:v>46220.950636574074</x:v>
      </x:c>
      <x:c r="N63" s="84" t="n">
        <x:v>4</x:v>
      </x:c>
      <x:c r="O63" s="84" t="n">
        <x:v>2</x:v>
      </x:c>
      <x:c r="P63" s="84" t="n">
        <x:v>4</x:v>
      </x:c>
      <x:c r="Q63" s="84" t="n">
        <x:v>0</x:v>
      </x:c>
      <x:c r="R63" s="82" t="str">
        <x:f>IF(J63="Complete","Review - workbook says Complete","Active backlog")</x:f>
        <x:v>Active backlog</x:v>
      </x:c>
      <x:c r="S63" s="82" t="str">
        <x:v>RMA NOTIFICATION FOR CORES</x:v>
      </x:c>
    </x:row>
    <x:row r="64" ht="34" customHeight="1">
      <x:c r="A64" s="85" t="str">
        <x:v>00010380</x:v>
      </x:c>
      <x:c r="B64" s="82" t="str">
        <x:v>Received Checkbox Workflow</x:v>
      </x:c>
      <x:c r="C64" s="81" t="str">
        <x:v>Claimed</x:v>
      </x:c>
      <x:c r="D64" s="81" t="str">
        <x:v>Medium</x:v>
      </x:c>
      <x:c r="E64" s="81" t="str">
        <x:v>Blake Nielsen</x:v>
      </x:c>
      <x:c r="F64" s="81" t="str">
        <x:v>Other</x:v>
      </x:c>
      <x:c r="G64" s="81" t="str">
        <x:v>Asset2</x:v>
      </x:c>
      <x:c r="H64" s="82" t="str">
        <x:v>BUG</x:v>
      </x:c>
      <x:c r="I64" s="82" t="str">
        <x:v>Design</x:v>
      </x:c>
      <x:c r="J64" s="82" t="str">
        <x:v>Errors &amp; Just do its</x:v>
      </x:c>
      <x:c r="K64" s="82" t="str">
        <x:v>Natalie Boger</x:v>
      </x:c>
      <x:c r="L64" s="83" t="n">
        <x:v>46220.8722337963</x:v>
      </x:c>
      <x:c r="M64" s="83" t="n">
        <x:v>46227.867268518516</x:v>
      </x:c>
      <x:c r="N64" s="84" t="n">
        <x:v>2</x:v>
      </x:c>
      <x:c r="O64" s="84" t="n">
        <x:v>1</x:v>
      </x:c>
      <x:c r="P64" s="84" t="n">
        <x:v>0</x:v>
      </x:c>
      <x:c r="Q64" s="84" t="n">
        <x:v>0</x:v>
      </x:c>
      <x:c r="R64" s="82" t="str">
        <x:f>IF(J64="Complete","Review - workbook says Complete","Active backlog")</x:f>
        <x:v>Active backlog</x:v>
      </x:c>
      <x:c r="S64" s="82" t="str">
        <x:v>The Received Checkbox Workflow is currently inoperable; the previous workflow would check the "Received Checkbox" when a received date was entered.  Can we restore this functionality.</x:v>
      </x:c>
    </x:row>
    <x:row r="65" ht="34" customHeight="1">
      <x:c r="A65" s="85" t="str">
        <x:v>00010381</x:v>
      </x:c>
      <x:c r="B65" s="82" t="str">
        <x:v>customer number to show on search screen</x:v>
      </x:c>
      <x:c r="C65" s="81" t="str">
        <x:v>Claimed</x:v>
      </x:c>
      <x:c r="D65" s="81" t="str">
        <x:v>Medium</x:v>
      </x:c>
      <x:c r="E65" s="81" t="str">
        <x:v>Krystie Green</x:v>
      </x:c>
      <x:c r="F65" s="81" t="str">
        <x:v>Other</x:v>
      </x:c>
      <x:c r="G65" s="81" t="str">
        <x:v>OTHER</x:v>
      </x:c>
      <x:c r="H65" s="82" t="str">
        <x:v>Search Layout</x:v>
      </x:c>
      <x:c r="I65" s="82" t="str">
        <x:v>Requirement Gathering</x:v>
      </x:c>
      <x:c r="J65" s="82" t="str">
        <x:v>Projects (Major and Minor)</x:v>
      </x:c>
      <x:c r="K65" s="82" t="str">
        <x:v>Mindy Bender</x:v>
      </x:c>
      <x:c r="L65" s="83" t="n">
        <x:v>46221.22363425926</x:v>
      </x:c>
      <x:c r="M65" s="83" t="n">
        <x:v>46228.04864583333</x:v>
      </x:c>
      <x:c r="N65" s="84" t="n">
        <x:v>2</x:v>
      </x:c>
      <x:c r="O65" s="84" t="n">
        <x:v>1</x:v>
      </x:c>
      <x:c r="P65" s="84" t="n">
        <x:v>0</x:v>
      </x:c>
      <x:c r="Q65" s="84" t="n">
        <x:v>0</x:v>
      </x:c>
      <x:c r="R65" s="82" t="str">
        <x:f>IF(J65="Complete","Review - workbook says Complete","Active backlog")</x:f>
        <x:v>Active backlog</x:v>
      </x:c>
      <x:c r="S65" s="82" t="str">
        <x:v>Customer number needed for visability</x:v>
      </x:c>
    </x:row>
    <x:row r="66" ht="34" customHeight="1">
      <x:c r="A66" s="85" t="str">
        <x:v>00010389</x:v>
      </x:c>
      <x:c r="B66" s="82" t="str">
        <x:v>Addition to CT PPM list</x:v>
      </x:c>
      <x:c r="C66" s="81" t="str">
        <x:v>Claimed</x:v>
      </x:c>
      <x:c r="D66" s="81" t="str">
        <x:v>Medium</x:v>
      </x:c>
      <x:c r="E66" s="81" t="str">
        <x:v>Tom Meredith</x:v>
      </x:c>
      <x:c r="F66" s="81" t="str">
        <x:v>Salesforce Improvement</x:v>
      </x:c>
      <x:c r="G66" s="81" t="str">
        <x:v>Field Service Lightning</x:v>
      </x:c>
      <x:c r="H66" s="82" t="str">
        <x:v>New Fields</x:v>
      </x:c>
      <x:c r="I66" s="82" t="str">
        <x:v>Not Yet Started</x:v>
      </x:c>
      <x:c r="J66" s="82" t="str">
        <x:v>Projects (Major and Minor)</x:v>
      </x:c>
      <x:c r="K66" s="82" t="str">
        <x:v>Sacha Pearce</x:v>
      </x:c>
      <x:c r="L66" s="83" t="n">
        <x:v>46223.87903935185</x:v>
      </x:c>
      <x:c r="M66" s="83" t="n">
        <x:v>46223.87903935185</x:v>
      </x:c>
      <x:c r="N66" s="84" t="n">
        <x:v>2</x:v>
      </x:c>
      <x:c r="O66" s="84" t="n">
        <x:v>1</x:v>
      </x:c>
      <x:c r="P66" s="84" t="n">
        <x:v>0</x:v>
      </x:c>
      <x:c r="Q66" s="84" t="n">
        <x:v>0</x:v>
      </x:c>
      <x:c r="R66" s="82" t="str">
        <x:f>IF(J66="Complete","Review - workbook says Complete","Active backlog")</x:f>
        <x:v>Active backlog</x:v>
      </x:c>
      <x:c r="S66" s="82" t="str">
        <x:v>please add in the following fields, "Tube count" - units mAs example 47,114,788 mAs ... "Gantry Revolutions" - units Revs . Example 6,581,964 revs .  "Scans" - units Patients . Example "16,561 patients."</x:v>
      </x:c>
    </x:row>
    <x:row r="67" ht="34" customHeight="1">
      <x:c r="A67" s="85" t="str">
        <x:v>00010409</x:v>
      </x:c>
      <x:c r="B67" s="82" t="str">
        <x:v>New SA Button</x:v>
      </x:c>
      <x:c r="C67" s="81" t="str">
        <x:v>Claimed</x:v>
      </x:c>
      <x:c r="D67" s="81" t="str">
        <x:v>High</x:v>
      </x:c>
      <x:c r="E67" s="81" t="str">
        <x:v>Tom Meredith</x:v>
      </x:c>
      <x:c r="F67" s="81" t="str">
        <x:v>Salesforce Improvement</x:v>
      </x:c>
      <x:c r="G67" s="81" t="str">
        <x:v>Work Order</x:v>
      </x:c>
      <x:c r="H67" s="82" t="str">
        <x:v>New/Edit Workflows</x:v>
      </x:c>
      <x:c r="I67" s="82" t="str">
        <x:v>Not Yet Started</x:v>
      </x:c>
      <x:c r="J67" s="82" t="str">
        <x:v>Projects (Major and Minor)</x:v>
      </x:c>
      <x:c r="K67" s="82" t="str">
        <x:v>Sacha Pearce</x:v>
      </x:c>
      <x:c r="L67" s="83" t="n">
        <x:v>46225.78824074074</x:v>
      </x:c>
      <x:c r="M67" s="83" t="n">
        <x:v>46225.78869212963</x:v>
      </x:c>
      <x:c r="N67" s="84" t="n">
        <x:v>4</x:v>
      </x:c>
      <x:c r="O67" s="84" t="n">
        <x:v>2</x:v>
      </x:c>
      <x:c r="P67" s="84" t="n">
        <x:v>0</x:v>
      </x:c>
      <x:c r="Q67" s="84" t="n">
        <x:v>0</x:v>
      </x:c>
      <x:c r="R67" s="82" t="str">
        <x:f>IF(J67="Complete","Review - workbook says Complete","Active backlog")</x:f>
        <x:v>Active backlog</x:v>
      </x:c>
      <x:c r="S67" s="82" t="str">
        <x:v>To create a new SA Button which will pre populate the information from the WO it is being created from. (similar to how the Create UK Work Order works from the contract line)</x:v>
      </x:c>
    </x:row>
    <x:row r="68" ht="34" customHeight="1">
      <x:c r="A68" s="85" t="str">
        <x:v>00010414</x:v>
      </x:c>
      <x:c r="B68" s="82" t="str">
        <x:v>new bin</x:v>
      </x:c>
      <x:c r="C68" s="81" t="str">
        <x:v>Claimed</x:v>
      </x:c>
      <x:c r="D68" s="81" t="str">
        <x:v>Medium</x:v>
      </x:c>
      <x:c r="E68" s="81" t="str">
        <x:v>Tyler Turley</x:v>
      </x:c>
      <x:c r="F68" s="81" t="str">
        <x:v>Other</x:v>
      </x:c>
      <x:c r="G68" s="81" t="str">
        <x:v>OTHER</x:v>
      </x:c>
      <x:c r="H68" s="82" t="str">
        <x:v>Data</x:v>
      </x:c>
      <x:c r="I68" s="82" t="str">
        <x:v>Design</x:v>
      </x:c>
      <x:c r="J68" s="82" t="str">
        <x:v>Errors &amp; Just do its</x:v>
      </x:c>
      <x:c r="K68" s="82" t="str">
        <x:v>Mindy Bender</x:v>
      </x:c>
      <x:c r="L68" s="83" t="n">
        <x:v>46225.95752314815</x:v>
      </x:c>
      <x:c r="M68" s="83" t="n">
        <x:v>46227.80951388889</x:v>
      </x:c>
      <x:c r="N68" s="84" t="n">
        <x:v>4</x:v>
      </x:c>
      <x:c r="O68" s="84" t="n">
        <x:v>2</x:v>
      </x:c>
      <x:c r="P68" s="84" t="n">
        <x:v>2</x:v>
      </x:c>
      <x:c r="Q68" s="84" t="n">
        <x:v>1</x:v>
      </x:c>
      <x:c r="R68" s="82" t="str">
        <x:f>IF(J68="Complete","Review - workbook says Complete","Active backlog")</x:f>
        <x:v>Active backlog</x:v>
      </x:c>
      <x:c r="S68" s="82" t="str">
        <x:v>Need to add Frank Kampy in to the Field Service Engineer location</x:v>
      </x:c>
    </x:row>
    <x:row r="69" ht="34" customHeight="1">
      <x:c r="A69" s="85" t="str">
        <x:v>00010415</x:v>
      </x:c>
      <x:c r="B69" s="82" t="str">
        <x:v>Entity</x:v>
      </x:c>
      <x:c r="C69" s="81" t="str">
        <x:v>Claimed</x:v>
      </x:c>
      <x:c r="D69" s="81" t="str">
        <x:v>Medium</x:v>
      </x:c>
      <x:c r="E69" s="81" t="str">
        <x:v>Terry Mascia</x:v>
      </x:c>
      <x:c r="F69" s="81" t="str">
        <x:v>Administrative (Reports &amp; Dashboards)</x:v>
      </x:c>
      <x:c r="G69" s="81" t="str">
        <x:v>Opportunity</x:v>
      </x:c>
      <x:c r="H69" s="82" t="str">
        <x:v>Validation Rules/Access</x:v>
      </x:c>
      <x:c r="I69" s="82" t="str">
        <x:v>?</x:v>
      </x:c>
      <x:c r="J69" s="82" t="str">
        <x:v>Errors &amp; Just do its</x:v>
      </x:c>
      <x:c r="K69" s="82" t="str">
        <x:v>Mindy Bender</x:v>
      </x:c>
      <x:c r="L69" s="83" t="n">
        <x:v>46225.96380787037</x:v>
      </x:c>
      <x:c r="M69" s="83" t="n">
        <x:v>46241.12100694444</x:v>
      </x:c>
      <x:c r="N69" s="84" t="n">
        <x:v>3</x:v>
      </x:c>
      <x:c r="O69" s="84" t="n">
        <x:v>1</x:v>
      </x:c>
      <x:c r="P69" s="84" t="n">
        <x:v>0</x:v>
      </x:c>
      <x:c r="Q69" s="84" t="n">
        <x:v>0</x:v>
      </x:c>
      <x:c r="R69" s="82" t="str">
        <x:f>IF(J69="Complete","Review - workbook says Complete","Active backlog")</x:f>
        <x:v>Active backlog</x:v>
      </x:c>
      <x:c r="S69" s="82" t="str">
        <x:v>allow Jonah to change entity for op's , He cannot add assets at times due to entity not being US</x:v>
      </x:c>
    </x:row>
    <x:row r="70" ht="34" customHeight="1">
      <x:c r="A70" s="85" t="str">
        <x:v>00010446</x:v>
      </x:c>
      <x:c r="B70" s="82" t="str">
        <x:v>New Field For Shipment Dimensions</x:v>
      </x:c>
      <x:c r="C70" s="81" t="str">
        <x:v>Claimed</x:v>
      </x:c>
      <x:c r="D70" s="81" t="str">
        <x:v>Medium</x:v>
      </x:c>
      <x:c r="E70" s="81" t="str">
        <x:v>Blake Nielsen</x:v>
      </x:c>
      <x:c r="F70" s="81" t="str">
        <x:v>Salesforce Improvement</x:v>
      </x:c>
      <x:c r="G70" s="81" t="str">
        <x:v>Product</x:v>
      </x:c>
      <x:c r="H70" s="82" t="str">
        <x:v>New/Edit Fields</x:v>
      </x:c>
      <x:c r="I70" s="82" t="str">
        <x:v>Requirement Gathering</x:v>
      </x:c>
      <x:c r="J70" s="82" t="str">
        <x:v>Projects (Major and Minor)</x:v>
      </x:c>
      <x:c r="K70" s="82" t="str">
        <x:v>Mindy Bender</x:v>
      </x:c>
      <x:c r="L70" s="83" t="n">
        <x:v>46230.94097222222</x:v>
      </x:c>
      <x:c r="M70" s="83" t="n">
        <x:v>46231.9578125</x:v>
      </x:c>
      <x:c r="N70" s="84" t="n">
        <x:v>3</x:v>
      </x:c>
      <x:c r="O70" s="84" t="n">
        <x:v>2</x:v>
      </x:c>
      <x:c r="P70" s="84" t="n">
        <x:v>0</x:v>
      </x:c>
      <x:c r="Q70" s="84" t="n">
        <x:v>0</x:v>
      </x:c>
      <x:c r="R70" s="82" t="str">
        <x:f>IF(J70="Complete","Review - workbook says Complete","Active backlog")</x:f>
        <x:v>Active backlog</x:v>
      </x:c>
      <x:c r="S70" s="82" t="str">
        <x:v>Team, we would like to add a New Field For Standard Shipment Dimensions at the product level; this field should allow us to enter the length, width, height and weight of the product as made ready to ship.</x:v>
      </x:c>
    </x:row>
    <x:row r="71" ht="34" customHeight="1">
      <x:c r="A71" s="85" t="str">
        <x:v>00010447</x:v>
      </x:c>
      <x:c r="B71" s="82" t="str">
        <x:v>RMA CORE DUE DATE BOX</x:v>
      </x:c>
      <x:c r="C71" s="81" t="str">
        <x:v>Claimed</x:v>
      </x:c>
      <x:c r="D71" s="81" t="str">
        <x:v>Medium</x:v>
      </x:c>
      <x:c r="E71" s="81" t="str">
        <x:v>Gretchen Scarborough</x:v>
      </x:c>
      <x:c r="F71" s="81" t="str">
        <x:v>Salesforce Improvement</x:v>
      </x:c>
      <x:c r="G71" s="81" t="str">
        <x:v>Opportunity</x:v>
      </x:c>
      <x:c r="H71" s="82" t="str">
        <x:v>New/Edit Fields</x:v>
      </x:c>
      <x:c r="I71" s="82" t="str">
        <x:v>Design</x:v>
      </x:c>
      <x:c r="J71" s="82" t="str">
        <x:v>Projects (Major and Minor)</x:v>
      </x:c>
      <x:c r="K71" s="82" t="str">
        <x:v>Mindy Bender</x:v>
      </x:c>
      <x:c r="L71" s="83" t="n">
        <x:v>46230.958136574074</x:v>
      </x:c>
      <x:c r="M71" s="83" t="n">
        <x:v>46231.95744212963</x:v>
      </x:c>
      <x:c r="N71" s="84" t="n">
        <x:v>3</x:v>
      </x:c>
      <x:c r="O71" s="84" t="n">
        <x:v>2</x:v>
      </x:c>
      <x:c r="P71" s="84" t="n">
        <x:v>0</x:v>
      </x:c>
      <x:c r="Q71" s="84" t="n">
        <x:v>0</x:v>
      </x:c>
      <x:c r="R71" s="82" t="str">
        <x:f>IF(J71="Complete","Review - workbook says Complete","Active backlog")</x:f>
        <x:v>Active backlog</x:v>
      </x:c>
      <x:c r="S71" s="82" t="str">
        <x:v>RMA CORE DUE DATE BOX - can we add a RMA CORE DUE DATE BOX on the main PO  so we can run a report on those dates?</x:v>
      </x:c>
    </x:row>
    <x:row r="72" ht="34" customHeight="1">
      <x:c r="A72" s="85" t="str">
        <x:v>00010464</x:v>
      </x:c>
      <x:c r="B72" s="82" t="str">
        <x:v>Dims and weight</x:v>
      </x:c>
      <x:c r="C72" s="81" t="str">
        <x:v>Claimed</x:v>
      </x:c>
      <x:c r="D72" s="81" t="str">
        <x:v>Medium</x:v>
      </x:c>
      <x:c r="E72" s="81" t="str">
        <x:v>Jasmine Dearth</x:v>
      </x:c>
      <x:c r="F72" s="81" t="str">
        <x:v>Salesforce Idea</x:v>
      </x:c>
      <x:c r="G72" s="81" t="str">
        <x:v>Asset2</x:v>
      </x:c>
      <x:c r="H72" s="82" t="str">
        <x:v>New/Edit Fields</x:v>
      </x:c>
      <x:c r="I72" s="82" t="str">
        <x:v>Requirement Gathering</x:v>
      </x:c>
      <x:c r="J72" s="82" t="str">
        <x:v>Projects (Major and Minor)</x:v>
      </x:c>
      <x:c r="K72" s="82" t="str">
        <x:v>Mindy Bender</x:v>
      </x:c>
      <x:c r="L72" s="83" t="n">
        <x:v>46231.990324074075</x:v>
      </x:c>
      <x:c r="M72" s="83" t="n">
        <x:v>46232.07152777778</x:v>
      </x:c>
      <x:c r="N72" s="84" t="n">
        <x:v>4</x:v>
      </x:c>
      <x:c r="O72" s="84" t="n">
        <x:v>1</x:v>
      </x:c>
      <x:c r="P72" s="84" t="n">
        <x:v>0</x:v>
      </x:c>
      <x:c r="Q72" s="84" t="n">
        <x:v>0</x:v>
      </x:c>
      <x:c r="R72" s="82" t="str">
        <x:f>IF(J72="Complete","Review - workbook says Complete","Active backlog")</x:f>
        <x:v>Active backlog</x:v>
      </x:c>
      <x:c r="S72" s="82" t="str">
        <x:v>Wanting to get a Dims and weight spot generated into the asset details, so we can enter dims and weights into the asset</x:v>
      </x:c>
    </x:row>
    <x:row r="73" ht="34" customHeight="1">
      <x:c r="A73" s="85" t="str">
        <x:v>00010489</x:v>
      </x:c>
      <x:c r="B73" s="82" t="str">
        <x:v>Emails with Subject: New Service Contract Ready for Approval</x:v>
      </x:c>
      <x:c r="C73" s="81" t="str">
        <x:v>Claimed</x:v>
      </x:c>
      <x:c r="D73" s="81" t="str">
        <x:v>Medium</x:v>
      </x:c>
      <x:c r="E73" s="81" t="str">
        <x:v>Krystie Green</x:v>
      </x:c>
      <x:c r="F73" s="81" t="str">
        <x:v>Other</x:v>
      </x:c>
      <x:c r="G73" s="81" t="str">
        <x:v>OTHER</x:v>
      </x:c>
      <x:c r="H73" s="82" t="str">
        <x:v>New/Edit Workflows</x:v>
      </x:c>
      <x:c r="I73" s="82" t="str">
        <x:v>Build/Test/Deploy</x:v>
      </x:c>
      <x:c r="J73" s="82" t="str">
        <x:v>Errors &amp; Just do its</x:v>
      </x:c>
      <x:c r="K73" s="82" t="str">
        <x:v>Mindy Bender</x:v>
      </x:c>
      <x:c r="L73" s="83" t="n">
        <x:v>46234.11739583333</x:v>
      </x:c>
      <x:c r="M73" s="83" t="n">
        <x:v>46238.93361111111</x:v>
      </x:c>
      <x:c r="N73" s="84" t="n">
        <x:v>3</x:v>
      </x:c>
      <x:c r="O73" s="84" t="n">
        <x:v>3</x:v>
      </x:c>
      <x:c r="P73" s="84" t="n">
        <x:v>0</x:v>
      </x:c>
      <x:c r="Q73" s="84" t="n">
        <x:v>1</x:v>
      </x:c>
      <x:c r="R73" s="82" t="str">
        <x:f>IF(J73="Complete","Review - workbook says Complete","Active backlog")</x:f>
        <x:v>Active backlog</x:v>
      </x:c>
      <x:c r="S73" s="82" t="str">
        <x:v>Please remove Carmen Montalvo &lt;cmontalvo@probomedical.com&gt; from receiving these and send them to ar@probomedical.com.  This email was sent from From: noreply@salesforce.com &lt;noreply@salesforce.com&gt; On Behalf Of Ashley Madson. Account: Siemens Healthcare L</x:v>
      </x:c>
    </x:row>
    <x:row r="74" ht="34" customHeight="1">
      <x:c r="A74" s="85" t="str">
        <x:v>00010491</x:v>
      </x:c>
      <x:c r="B74" s="82" t="str">
        <x:v>adding of support engineer, so its visible to engineer who they are attending visit with</x:v>
      </x:c>
      <x:c r="C74" s="81" t="str">
        <x:v>Claimed</x:v>
      </x:c>
      <x:c r="D74" s="81" t="str">
        <x:v>Medium</x:v>
      </x:c>
      <x:c r="E74" s="81" t="str">
        <x:v>Harriet Langley</x:v>
      </x:c>
      <x:c r="F74" s="81" t="str">
        <x:v>Salesforce Improvement</x:v>
      </x:c>
      <x:c r="G74" s="81" t="str">
        <x:v>Field Service Lightning</x:v>
      </x:c>
      <x:c r="H74" s="82" t="str">
        <x:v>New/Edit Fields</x:v>
      </x:c>
      <x:c r="I74" s="82" t="str">
        <x:v>Not Yet Started</x:v>
      </x:c>
      <x:c r="J74" s="82" t="str">
        <x:v>Projects (Major and Minor)</x:v>
      </x:c>
      <x:c r="K74" s="82" t="str">
        <x:v>Sacha Pearce</x:v>
      </x:c>
      <x:c r="L74" s="83" t="n">
        <x:v>46234.60599537037</x:v>
      </x:c>
      <x:c r="M74" s="83" t="n">
        <x:v>46234.60599537037</x:v>
      </x:c>
      <x:c r="N74" s="84" t="n">
        <x:v>2</x:v>
      </x:c>
      <x:c r="O74" s="84" t="n">
        <x:v>1</x:v>
      </x:c>
      <x:c r="P74" s="84" t="n">
        <x:v>0</x:v>
      </x:c>
      <x:c r="Q74" s="84" t="n">
        <x:v>0</x:v>
      </x:c>
      <x:c r="R74" s="82" t="str">
        <x:f>IF(J74="Complete","Review - workbook says Complete","Active backlog")</x:f>
        <x:v>Active backlog</x:v>
      </x:c>
      <x:c r="S74" s="82" t="str">
        <x:v>adding of support engineer, so its visible to engineer who they are attending visit with</x:v>
      </x:c>
    </x:row>
    <x:row r="75" ht="34" customHeight="1">
      <x:c r="A75" s="85" t="str">
        <x:v>00010500</x:v>
      </x:c>
      <x:c r="B75" s="82" t="str">
        <x:v>Vendor not synched to Inttact</x:v>
      </x:c>
      <x:c r="C75" s="81" t="str">
        <x:v>Claimed</x:v>
      </x:c>
      <x:c r="D75" s="81" t="str">
        <x:v>Medium</x:v>
      </x:c>
      <x:c r="E75" s="81" t="str">
        <x:v>Ana Serrano</x:v>
      </x:c>
      <x:c r="F75" s="81" t="str">
        <x:v>Other</x:v>
      </x:c>
      <x:c r="G75" s="81" t="str">
        <x:v>Intacct</x:v>
      </x:c>
      <x:c r="H75" s="82" t="str">
        <x:v>Data</x:v>
      </x:c>
      <x:c r="I75" s="82" t="str">
        <x:v>Requirement Gathering</x:v>
      </x:c>
      <x:c r="J75" s="82" t="str">
        <x:v>Errors &amp; Just do its</x:v>
      </x:c>
      <x:c r="K75" s="82" t="str">
        <x:v>Mindy Bender</x:v>
      </x:c>
      <x:c r="L75" s="83" t="n">
        <x:v>46234.91101851852</x:v>
      </x:c>
      <x:c r="M75" s="83" t="n">
        <x:v>46238.95413194445</x:v>
      </x:c>
      <x:c r="N75" s="84" t="n">
        <x:v>4</x:v>
      </x:c>
      <x:c r="O75" s="84" t="n">
        <x:v>2</x:v>
      </x:c>
      <x:c r="P75" s="84" t="n">
        <x:v>3</x:v>
      </x:c>
      <x:c r="Q75" s="84" t="n">
        <x:v>0</x:v>
      </x:c>
      <x:c r="R75" s="82" t="str">
        <x:f>IF(J75="Complete","Review - workbook says Complete","Active backlog")</x:f>
        <x:v>Active backlog</x:v>
      </x:c>
      <x:c r="S75" s="82" t="str">
        <x:v>Vendor not synched in Inttact</x:v>
      </x:c>
    </x:row>
    <x:row r="76" ht="34" customHeight="1">
      <x:c r="A76" s="85" t="str">
        <x:v>00010514</x:v>
      </x:c>
      <x:c r="B76" s="82" t="str">
        <x:v>CORE EXCHANGE RMA NOT AUTOMATICALLY OPENING ON WO</x:v>
      </x:c>
      <x:c r="C76" s="81" t="str">
        <x:v>Claimed</x:v>
      </x:c>
      <x:c r="D76" s="81" t="str">
        <x:v>Medium</x:v>
      </x:c>
      <x:c r="E76" s="81" t="str">
        <x:v>Ashley Madson</x:v>
      </x:c>
      <x:c r="F76" s="81" t="str">
        <x:v>Salesforce Improvement</x:v>
      </x:c>
      <x:c r="G76" s="81" t="str">
        <x:v>Work Order</x:v>
      </x:c>
      <x:c r="H76" s="82" t="str">
        <x:v>New/Edit Workflows</x:v>
      </x:c>
      <x:c r="I76" s="82" t="str">
        <x:v>Design</x:v>
      </x:c>
      <x:c r="J76" s="82" t="str">
        <x:v>Projects (Major and Minor)</x:v>
      </x:c>
      <x:c r="K76" s="82" t="str">
        <x:v>Mindy Bender</x:v>
      </x:c>
      <x:c r="L76" s="83" t="n">
        <x:v>46237.84212962963</x:v>
      </x:c>
      <x:c r="M76" s="83" t="n">
        <x:v>46238.02858796297</x:v>
      </x:c>
      <x:c r="N76" s="84" t="n">
        <x:v>2</x:v>
      </x:c>
      <x:c r="O76" s="84" t="n">
        <x:v>1</x:v>
      </x:c>
      <x:c r="P76" s="84" t="n">
        <x:v>0</x:v>
      </x:c>
      <x:c r="Q76" s="84" t="n">
        <x:v>0</x:v>
      </x:c>
      <x:c r="R76" s="82" t="str">
        <x:f>IF(J76="Complete","Review - workbook says Complete","Active backlog")</x:f>
        <x:v>Active backlog</x:v>
      </x:c>
      <x:c r="S76" s="82" t="str">
        <x:v>CAN WE TRIGGER THE CORE RMA TO OPEN ON WORK - WE MANAUALLY HAVE TO CREATE THEM NOW - NEED AUTOMATED FOR GE CONTRACT</x:v>
      </x:c>
    </x:row>
    <x:row r="77" ht="34" customHeight="1">
      <x:c r="A77" s="85" t="str">
        <x:v>00010516</x:v>
      </x:c>
      <x:c r="B77" s="82" t="str">
        <x:v>Bar Code Scan location into "Current Location" field</x:v>
      </x:c>
      <x:c r="C77" s="81" t="str">
        <x:v>Claimed</x:v>
      </x:c>
      <x:c r="D77" s="81" t="str">
        <x:v>Medium</x:v>
      </x:c>
      <x:c r="E77" s="81" t="str">
        <x:v>Richard Gerler</x:v>
      </x:c>
      <x:c r="F77" s="81" t="str">
        <x:v>Salesforce Improvement</x:v>
      </x:c>
      <x:c r="G77" s="81" t="str">
        <x:v>Asset2</x:v>
      </x:c>
      <x:c r="H77" s="82" t="str">
        <x:v>New/Edit Workflows, New/Edit Fields</x:v>
      </x:c>
      <x:c r="I77" s="82" t="str">
        <x:v>Not Yet Started</x:v>
      </x:c>
      <x:c r="J77" s="82" t="str">
        <x:v>Projects (Major and Minor)</x:v>
      </x:c>
      <x:c r="K77" s="82" t="str"/>
      <x:c r="L77" s="83" t="n">
        <x:v>46237.88611111111</x:v>
      </x:c>
      <x:c r="M77" s="83" t="n">
        <x:v>46246.78991898148</x:v>
      </x:c>
      <x:c r="N77" s="84" t="n">
        <x:v>3</x:v>
      </x:c>
      <x:c r="O77" s="84" t="n">
        <x:v>1</x:v>
      </x:c>
      <x:c r="P77" s="84" t="n">
        <x:v>0</x:v>
      </x:c>
      <x:c r="Q77" s="84" t="n">
        <x:v>0</x:v>
      </x:c>
      <x:c r="R77" s="82" t="str">
        <x:f>IF(J77="Complete","Review - workbook says Complete","Active backlog")</x:f>
        <x:v>Active backlog</x:v>
      </x:c>
      <x:c r="S77" s="82" t="str">
        <x:v>We need the ability to scan a bar code to update the current location field of an individual asset. There needs to be a data validation that it is a correct location from the location lists.</x:v>
      </x:c>
    </x:row>
    <x:row r="78" ht="34" customHeight="1">
      <x:c r="A78" s="85" t="str">
        <x:v>00010517</x:v>
      </x:c>
      <x:c r="B78" s="82" t="str">
        <x:v>Update Account Bill / Ship address</x:v>
      </x:c>
      <x:c r="C78" s="81" t="str">
        <x:v>Claimed</x:v>
      </x:c>
      <x:c r="D78" s="81" t="str">
        <x:v>Medium</x:v>
      </x:c>
      <x:c r="E78" s="81" t="str">
        <x:v>Matt Ehlke</x:v>
      </x:c>
      <x:c r="F78" s="81" t="str">
        <x:v>Other</x:v>
      </x:c>
      <x:c r="G78" s="81" t="str">
        <x:v>Account</x:v>
      </x:c>
      <x:c r="H78" s="82" t="str">
        <x:v>Data</x:v>
      </x:c>
      <x:c r="I78" s="82" t="str">
        <x:v>Not Started yet</x:v>
      </x:c>
      <x:c r="J78" s="82" t="str">
        <x:v>Errors &amp; Just do its</x:v>
      </x:c>
      <x:c r="K78" s="82" t="str">
        <x:v>Mindy Bender</x:v>
      </x:c>
      <x:c r="L78" s="83" t="n">
        <x:v>46238.09137731481</x:v>
      </x:c>
      <x:c r="M78" s="83" t="n">
        <x:v>46240.06234953704</x:v>
      </x:c>
      <x:c r="N78" s="84" t="n">
        <x:v>4</x:v>
      </x:c>
      <x:c r="O78" s="84" t="n">
        <x:v>2</x:v>
      </x:c>
      <x:c r="P78" s="84" t="n">
        <x:v>1</x:v>
      </x:c>
      <x:c r="Q78" s="84" t="n">
        <x:v>0</x:v>
      </x:c>
      <x:c r="R78" s="82" t="str">
        <x:f>IF(J78="Complete","Review - workbook says Complete","Active backlog")</x:f>
        <x:v>Active backlog</x:v>
      </x:c>
      <x:c r="S78" s="82" t="str">
        <x:v>The customer's address changed and the account needs updated for both billing/shipping address.
2021B Emmorton Rd, Suite 110
Bel Air, MD 21015</x:v>
      </x:c>
    </x:row>
    <x:row r="79" ht="34" customHeight="1">
      <x:c r="A79" s="85" t="str">
        <x:v>00010535</x:v>
      </x:c>
      <x:c r="B79" s="82" t="str">
        <x:v>new asset creation for Probo Canada</x:v>
      </x:c>
      <x:c r="C79" s="81" t="str">
        <x:v>Claimed</x:v>
      </x:c>
      <x:c r="D79" s="81" t="str">
        <x:v>Medium</x:v>
      </x:c>
      <x:c r="E79" s="81" t="str">
        <x:v>Nick Smitton</x:v>
      </x:c>
      <x:c r="F79" s="81" t="str">
        <x:v>Salesforce Improvement</x:v>
      </x:c>
      <x:c r="G79" s="81" t="str">
        <x:v>Asset2</x:v>
      </x:c>
      <x:c r="H79" s="82" t="str">
        <x:v>New/Edit Workflow</x:v>
      </x:c>
      <x:c r="I79" s="82" t="str">
        <x:v>Design</x:v>
      </x:c>
      <x:c r="J79" s="82" t="str">
        <x:v>Projects (Major and Minor)</x:v>
      </x:c>
      <x:c r="K79" s="82" t="str">
        <x:v>Mindy Bender</x:v>
      </x:c>
      <x:c r="L79" s="83" t="n">
        <x:v>46239.89506944444</x:v>
      </x:c>
      <x:c r="M79" s="83" t="n">
        <x:v>46240.213217592594</x:v>
      </x:c>
      <x:c r="N79" s="84" t="n">
        <x:v>2</x:v>
      </x:c>
      <x:c r="O79" s="84" t="n">
        <x:v>2</x:v>
      </x:c>
      <x:c r="P79" s="84" t="n">
        <x:v>11</x:v>
      </x:c>
      <x:c r="Q79" s="84" t="n">
        <x:v>0</x:v>
      </x:c>
      <x:c r="R79" s="82" t="str">
        <x:f>IF(J79="Complete","Review - workbook says Complete","Active backlog")</x:f>
        <x:v>Active backlog</x:v>
      </x:c>
      <x:c r="S79" s="82" t="str">
        <x:v>when creating a new asset for a Canadian purchasing opportunity the new asset is showing as a Probo US asset not Probo Canada</x:v>
      </x:c>
    </x:row>
    <x:row r="80" ht="34" customHeight="1">
      <x:c r="A80" s="85" t="str">
        <x:v>00010559</x:v>
      </x:c>
      <x:c r="B80" s="82" t="str">
        <x:v>Prevent Support Engineer appointments pulling in Shipping Information from Parent SA.</x:v>
      </x:c>
      <x:c r="C80" s="81" t="str">
        <x:v>Claimed</x:v>
      </x:c>
      <x:c r="D80" s="81" t="str">
        <x:v>Medium</x:v>
      </x:c>
      <x:c r="E80" s="81" t="str">
        <x:v>Tom Meredith</x:v>
      </x:c>
      <x:c r="F80" s="81" t="str">
        <x:v>Salesforce Improvement</x:v>
      </x:c>
      <x:c r="G80" s="81" t="str">
        <x:v>Field Service Lightning</x:v>
      </x:c>
      <x:c r="H80" s="82" t="str">
        <x:v>New/Edit Workflows</x:v>
      </x:c>
      <x:c r="I80" s="82" t="str">
        <x:v>Not Yet Started</x:v>
      </x:c>
      <x:c r="J80" s="82" t="str">
        <x:v>Projects (Major and Minor)</x:v>
      </x:c>
      <x:c r="K80" s="82" t="str">
        <x:v>Sacha Pearce</x:v>
      </x:c>
      <x:c r="L80" s="83" t="n">
        <x:v>46245.683599537035</x:v>
      </x:c>
      <x:c r="M80" s="83" t="n">
        <x:v>46245.68361111111</x:v>
      </x:c>
      <x:c r="N80" s="84" t="n">
        <x:v>2</x:v>
      </x:c>
      <x:c r="O80" s="84" t="n">
        <x:v>1</x:v>
      </x:c>
      <x:c r="P80" s="84" t="n">
        <x:v>0</x:v>
      </x:c>
      <x:c r="Q80" s="84" t="n">
        <x:v>0</x:v>
      </x:c>
      <x:c r="R80" s="82" t="str">
        <x:f>IF(J80="Complete","Review - workbook says Complete","Active backlog")</x:f>
        <x:v>Active backlog</x:v>
      </x:c>
      <x:c r="S80" s="82" t="str">
        <x:v>can we stop duplicate shipping info being pulled as it looks like the support eng also has parts to collect</x:v>
      </x:c>
    </x:row>
    <x:row r="81" ht="34" customHeight="1">
      <x:c r="A81" s="85" t="str">
        <x:v>00010560</x:v>
      </x:c>
      <x:c r="B81" s="82" t="str">
        <x:v>Include Equipment Location within the address of the SA for FSL (on overview page)</x:v>
      </x:c>
      <x:c r="C81" s="81" t="str">
        <x:v>Claimed</x:v>
      </x:c>
      <x:c r="D81" s="81" t="str">
        <x:v>Medium</x:v>
      </x:c>
      <x:c r="E81" s="81" t="str">
        <x:v>Tom Meredith</x:v>
      </x:c>
      <x:c r="F81" s="81" t="str">
        <x:v>Salesforce Improvement</x:v>
      </x:c>
      <x:c r="G81" s="81" t="str">
        <x:v>Field Service Lightning</x:v>
      </x:c>
      <x:c r="H81" s="82" t="str">
        <x:v>New/Edit Workflows</x:v>
      </x:c>
      <x:c r="I81" s="82" t="str">
        <x:v>Not Yet Started</x:v>
      </x:c>
      <x:c r="J81" s="82" t="str">
        <x:v>Projects (Major and Minor)</x:v>
      </x:c>
      <x:c r="K81" s="82" t="str">
        <x:v>Sacha Pearce</x:v>
      </x:c>
      <x:c r="L81" s="83" t="n">
        <x:v>46245.69256944444</x:v>
      </x:c>
      <x:c r="M81" s="83" t="n">
        <x:v>46245.69258101852</x:v>
      </x:c>
      <x:c r="N81" s="84" t="n">
        <x:v>2</x:v>
      </x:c>
      <x:c r="O81" s="84" t="n">
        <x:v>1</x:v>
      </x:c>
      <x:c r="P81" s="84" t="n">
        <x:v>0</x:v>
      </x:c>
      <x:c r="Q81" s="84" t="n">
        <x:v>0</x:v>
      </x:c>
      <x:c r="R81" s="82" t="str">
        <x:f>IF(J81="Complete","Review - workbook says Complete","Active backlog")</x:f>
        <x:v>Active backlog</x:v>
      </x:c>
      <x:c r="S81" s="82" t="str">
        <x:v>currently only states the address, but hospital name is not visible. alternatively lets discuss if this can be moved within WO and SA level. We also need to remopve a load of uneccessary fields from FSL view on the mobile app for SA/WO.</x:v>
      </x:c>
    </x:row>
    <x:row r="82" ht="34" customHeight="1">
      <x:c r="A82" s="85" t="str">
        <x:v>00010632</x:v>
      </x:c>
      <x:c r="B82" s="82" t="str">
        <x:v>Asset Location on Opps</x:v>
      </x:c>
      <x:c r="C82" s="81" t="str">
        <x:v>Claimed</x:v>
      </x:c>
      <x:c r="D82" s="81" t="str">
        <x:v>Medium</x:v>
      </x:c>
      <x:c r="E82" s="81" t="str">
        <x:v>Eric Szukis</x:v>
      </x:c>
      <x:c r="F82" s="81" t="str">
        <x:v>Salesforce Improvement</x:v>
      </x:c>
      <x:c r="G82" s="81" t="str">
        <x:v>Opportunity</x:v>
      </x:c>
      <x:c r="H82" s="82" t="str">
        <x:v>Edit Fields &amp; layouts</x:v>
      </x:c>
      <x:c r="I82" s="82" t="str">
        <x:v>Not Yet Started</x:v>
      </x:c>
      <x:c r="J82" s="82" t="str">
        <x:v>Projects (Major and Minor)</x:v>
      </x:c>
      <x:c r="K82" s="82" t="str">
        <x:v>Mindy Bender</x:v>
      </x:c>
      <x:c r="L82" s="83" t="n">
        <x:v>46254.95915509259</x:v>
      </x:c>
      <x:c r="M82" s="83" t="n">
        <x:v>46258.860601851855</x:v>
      </x:c>
      <x:c r="N82" s="84" t="n">
        <x:v>3</x:v>
      </x:c>
      <x:c r="O82" s="84" t="n">
        <x:v>2</x:v>
      </x:c>
      <x:c r="P82" s="84" t="n">
        <x:v>0</x:v>
      </x:c>
      <x:c r="Q82" s="84" t="n">
        <x:v>0</x:v>
      </x:c>
      <x:c r="R82" s="82" t="str">
        <x:f>IF(J82="Complete","Review - workbook says Complete","Active backlog")</x:f>
        <x:v>Active backlog</x:v>
      </x:c>
      <x:c r="S82" s="82" t="str">
        <x:v>Would like the current location shown on the products section of sales ops instead of location.  Have to click on each asset to get pick locations.</x:v>
      </x:c>
    </x:row>
    <x:row r="83" ht="34" customHeight="1">
      <x:c r="A83" s="85" t="str">
        <x:v>00010649</x:v>
      </x:c>
      <x:c r="B83" s="82" t="str">
        <x:v>Make Customer Persona required field for contacts</x:v>
      </x:c>
      <x:c r="C83" s="81" t="str">
        <x:v>Claimed</x:v>
      </x:c>
      <x:c r="D83" s="81" t="str">
        <x:v>Medium</x:v>
      </x:c>
      <x:c r="E83" s="81" t="str">
        <x:v>Brian Gill</x:v>
      </x:c>
      <x:c r="F83" s="81" t="str">
        <x:v>Salesforce Improvement</x:v>
      </x:c>
      <x:c r="G83" s="81" t="str">
        <x:v>Contact</x:v>
      </x:c>
      <x:c r="H83" s="82" t="str">
        <x:v>New/Edit Workflows</x:v>
      </x:c>
      <x:c r="I83" s="82" t="str">
        <x:v>Not Yet Started</x:v>
      </x:c>
      <x:c r="J83" s="82" t="str">
        <x:v>Projects (Major and Minor)</x:v>
      </x:c>
      <x:c r="K83" s="82" t="str"/>
      <x:c r="L83" s="83" t="n">
        <x:v>46258.916597222225</x:v>
      </x:c>
      <x:c r="M83" s="83" t="n">
        <x:v>46258.98619212963</x:v>
      </x:c>
      <x:c r="N83" s="84" t="n">
        <x:v>3</x:v>
      </x:c>
      <x:c r="O83" s="84" t="n">
        <x:v>1</x:v>
      </x:c>
      <x:c r="P83" s="84" t="n">
        <x:v>4</x:v>
      </x:c>
      <x:c r="Q83" s="84" t="n">
        <x:v>0</x:v>
      </x:c>
      <x:c r="R83" s="82" t="str">
        <x:f>IF(J83="Complete","Review - workbook says Complete","Active backlog")</x:f>
        <x:v>Active backlog</x:v>
      </x:c>
      <x:c r="S83" s="82" t="str">
        <x:v>We would like to force new contacts to have a required field for Customer Persona. There is a picklist created for this. This would need to be required on the lead object so it doesn't error on conversion. All web leads require this field.</x:v>
      </x:c>
    </x:row>
    <x:row r="84" ht="34" customHeight="1">
      <x:c r="A84" s="85" t="str">
        <x:v>00010650</x:v>
      </x:c>
      <x:c r="B84" s="82" t="str">
        <x:v>"call in" as Customer Persona</x:v>
      </x:c>
      <x:c r="C84" s="81" t="str">
        <x:v>Claimed</x:v>
      </x:c>
      <x:c r="D84" s="81" t="str">
        <x:v>Medium</x:v>
      </x:c>
      <x:c r="E84" s="81" t="str">
        <x:v>Brian Gill</x:v>
      </x:c>
      <x:c r="F84" s="81" t="str">
        <x:v>Administrative (Reports &amp; Dashboards)</x:v>
      </x:c>
      <x:c r="G84" s="81" t="str">
        <x:v>Contact</x:v>
      </x:c>
      <x:c r="H84" s="82" t="str">
        <x:v>New/Edit Workflows</x:v>
      </x:c>
      <x:c r="I84" s="82" t="str">
        <x:v>Not Yet Started</x:v>
      </x:c>
      <x:c r="J84" s="82" t="str">
        <x:v>Projects (Major and Minor)</x:v>
      </x:c>
      <x:c r="K84" s="82" t="str"/>
      <x:c r="L84" s="83" t="n">
        <x:v>46258.91835648148</x:v>
      </x:c>
      <x:c r="M84" s="83" t="n">
        <x:v>46258.98585648148</x:v>
      </x:c>
      <x:c r="N84" s="84" t="n">
        <x:v>4</x:v>
      </x:c>
      <x:c r="O84" s="84" t="n">
        <x:v>1</x:v>
      </x:c>
      <x:c r="P84" s="84" t="n">
        <x:v>0</x:v>
      </x:c>
      <x:c r="Q84" s="84" t="n">
        <x:v>0</x:v>
      </x:c>
      <x:c r="R84" s="82" t="str">
        <x:f>IF(J84="Complete","Review - workbook says Complete","Active backlog")</x:f>
        <x:v>Active backlog</x:v>
      </x:c>
      <x:c r="S84" s="82" t="str">
        <x:v>In creating Customer Persona as a rquired field, we may need to add "Call In" as Persona. Leads from CallRail will carry this Persona so it doesn't error on conversion. If it won't be necessary, we won't need this... I hope that makes sense!</x:v>
      </x:c>
    </x:row>
    <x:row r="85" ht="34" customHeight="1">
      <x:c r="A85" s="85" t="str">
        <x:v>00008310</x:v>
      </x:c>
      <x:c r="B85" s="82" t="str">
        <x:v>FSL - calendar appointment not appearing</x:v>
      </x:c>
      <x:c r="C85" s="81" t="str">
        <x:v>In progress</x:v>
      </x:c>
      <x:c r="D85" s="81" t="str">
        <x:v>Medium</x:v>
      </x:c>
      <x:c r="E85" s="81" t="str">
        <x:v>Tom Meredith</x:v>
      </x:c>
      <x:c r="F85" s="81" t="str">
        <x:v>Other</x:v>
      </x:c>
      <x:c r="G85" s="81" t="str">
        <x:v>Field Service Lightning</x:v>
      </x:c>
      <x:c r="H85" s="82" t="str">
        <x:v>New/Edit Workflows, Dashboards/Reports/Notifications, New/Edit Fields</x:v>
      </x:c>
      <x:c r="I85" s="82" t="str">
        <x:v>Not Yet Started</x:v>
      </x:c>
      <x:c r="J85" s="82" t="str">
        <x:v>Projects (Major and Minor)</x:v>
      </x:c>
      <x:c r="K85" s="82" t="str">
        <x:v>Sacha Pearce</x:v>
      </x:c>
      <x:c r="L85" s="83" t="n">
        <x:v>45799.8915162037</x:v>
      </x:c>
      <x:c r="M85" s="83" t="n">
        <x:v>46071.79971064815</x:v>
      </x:c>
      <x:c r="N85" s="84" t="n">
        <x:v>3</x:v>
      </x:c>
      <x:c r="O85" s="84" t="n">
        <x:v>2</x:v>
      </x:c>
      <x:c r="P85" s="84" t="n">
        <x:v>6</x:v>
      </x:c>
      <x:c r="Q85" s="84" t="n">
        <x:v>0</x:v>
      </x:c>
      <x:c r="R85" s="82" t="str">
        <x:f>IF(J85="Complete","Review - workbook says Complete","Active backlog")</x:f>
        <x:v>Active backlog</x:v>
      </x:c>
      <x:c r="S85" s="82" t="str">
        <x:v>a second job for an engineer was not populating on the calendar, i attempted to move the SA in the Gantt and redispatch in case it was due to them overlapping, but still no change. SA-6896 (not on calendar) and SA-6855 was visible. Informed by Caroline C</x:v>
      </x:c>
    </x:row>
    <x:row r="86" ht="34" customHeight="1">
      <x:c r="A86" s="85" t="str">
        <x:v>00008361</x:v>
      </x:c>
      <x:c r="B86" s="82" t="str">
        <x:v>FSL - No calendar appointment generated in coordinator mailbox for some time after dispatch (long delay)</x:v>
      </x:c>
      <x:c r="C86" s="81" t="str">
        <x:v>In progress</x:v>
      </x:c>
      <x:c r="D86" s="81" t="str">
        <x:v>High</x:v>
      </x:c>
      <x:c r="E86" s="81" t="str">
        <x:v>Tom Meredith</x:v>
      </x:c>
      <x:c r="F86" s="81" t="str">
        <x:v>Other</x:v>
      </x:c>
      <x:c r="G86" s="81" t="str">
        <x:v>Field Service Lightning</x:v>
      </x:c>
      <x:c r="H86" s="82" t="str">
        <x:v>New/Edit Workflows, Dashboards/Reports/Notifications, New/Edit Fields</x:v>
      </x:c>
      <x:c r="I86" s="82" t="str">
        <x:v>Not Yet Started</x:v>
      </x:c>
      <x:c r="J86" s="82" t="str">
        <x:v>Projects (Major and Minor)</x:v>
      </x:c>
      <x:c r="K86" s="82" t="str">
        <x:v>Sacha Pearce</x:v>
      </x:c>
      <x:c r="L86" s="83" t="n">
        <x:v>45807.7996875</x:v>
      </x:c>
      <x:c r="M86" s="83" t="n">
        <x:v>46071.79961805556</x:v>
      </x:c>
      <x:c r="N86" s="84" t="n">
        <x:v>7</x:v>
      </x:c>
      <x:c r="O86" s="84" t="n">
        <x:v>4</x:v>
      </x:c>
      <x:c r="P86" s="84" t="n">
        <x:v>1</x:v>
      </x:c>
      <x:c r="Q86" s="84" t="n">
        <x:v>0</x:v>
      </x:c>
      <x:c r="R86" s="82" t="str">
        <x:f>IF(J86="Complete","Review - workbook says Complete","Active backlog")</x:f>
        <x:v>Active backlog</x:v>
      </x:c>
      <x:c r="S86" s="82" t="str">
        <x:v>SA-6298 still not showing in calendar at 1440 however dispatched on Gantt at 10:13. Reported by Caroline C - Harriet also mentioned Alison W had similar delay.
Some appointments are not generating a Calendar appointment at all and concerned this may cause missed visits. Escalated to Priority High 09/06/25. Only applicable if 2 appts are logged for the same engineer, same day. Eg SA-7253</x:v>
      </x:c>
    </x:row>
    <x:row r="87" ht="34" customHeight="1">
      <x:c r="A87" s="85" t="str">
        <x:v>00009282</x:v>
      </x:c>
      <x:c r="B87" s="82" t="str">
        <x:v>Enable Ability To Change "Sub Location" on an asset</x:v>
      </x:c>
      <x:c r="C87" s="81" t="str">
        <x:v>In progress</x:v>
      </x:c>
      <x:c r="D87" s="81" t="str">
        <x:v>Medium</x:v>
      </x:c>
      <x:c r="E87" s="81" t="str">
        <x:v>Blake Nielsen</x:v>
      </x:c>
      <x:c r="F87" s="81" t="str">
        <x:v>Other</x:v>
      </x:c>
      <x:c r="G87" s="81" t="str">
        <x:v>Asset2</x:v>
      </x:c>
      <x:c r="H87" s="82" t="str">
        <x:v>New/Edit Workflows, Dashboards/Reports/Notifications, New/Edit Fields</x:v>
      </x:c>
      <x:c r="I87" s="82" t="str">
        <x:v>Build/Unit Testing</x:v>
      </x:c>
      <x:c r="J87" s="82" t="str">
        <x:v>Projects (Major and Minor)</x:v>
      </x:c>
      <x:c r="K87" s="82" t="str">
        <x:v>Natalie Boger</x:v>
      </x:c>
      <x:c r="L87" s="83" t="n">
        <x:v>45995.05590277778</x:v>
      </x:c>
      <x:c r="M87" s="83" t="n">
        <x:v>45996.396527777775</x:v>
      </x:c>
      <x:c r="N87" s="84" t="n">
        <x:v>3</x:v>
      </x:c>
      <x:c r="O87" s="84" t="n">
        <x:v>1</x:v>
      </x:c>
      <x:c r="P87" s="84" t="n">
        <x:v>0</x:v>
      </x:c>
      <x:c r="Q87" s="84" t="n">
        <x:v>1</x:v>
      </x:c>
      <x:c r="R87" s="82" t="str">
        <x:f>IF(J87="Complete","Review - workbook says Complete","Active backlog")</x:f>
        <x:v>Active backlog</x:v>
      </x:c>
      <x:c r="S87" s="82" t="str">
        <x:v>Would you please allow/enable myself, Derek Larsen, Brenner Webb, Kyle Kast and Shawn Vo to Change "Sub Location" on an asset.</x:v>
      </x:c>
    </x:row>
    <x:row r="88" ht="34" customHeight="1">
      <x:c r="A88" s="85" t="str">
        <x:v>00009284</x:v>
      </x:c>
      <x:c r="B88" s="82" t="str">
        <x:v>Asset consumption into a repair order.</x:v>
      </x:c>
      <x:c r="C88" s="81" t="str">
        <x:v>In progress</x:v>
      </x:c>
      <x:c r="D88" s="81" t="str">
        <x:v>Medium</x:v>
      </x:c>
      <x:c r="E88" s="81" t="str">
        <x:v>Derek Larsen</x:v>
      </x:c>
      <x:c r="F88" s="81" t="str">
        <x:v>Salesforce Improvement</x:v>
      </x:c>
      <x:c r="G88" s="81" t="str">
        <x:v>Asset2</x:v>
      </x:c>
      <x:c r="H88" s="82" t="str">
        <x:v>New/Edit Workflows</x:v>
      </x:c>
      <x:c r="I88" s="82" t="str">
        <x:v>User Testing</x:v>
      </x:c>
      <x:c r="J88" s="82" t="str">
        <x:v>Projects (Major and Minor)</x:v>
      </x:c>
      <x:c r="K88" s="82" t="str">
        <x:v>Natalie Boger</x:v>
      </x:c>
      <x:c r="L88" s="83" t="n">
        <x:v>45995.215046296296</x:v>
      </x:c>
      <x:c r="M88" s="83" t="n">
        <x:v>45995.91550925926</x:v>
      </x:c>
      <x:c r="N88" s="84" t="n">
        <x:v>2</x:v>
      </x:c>
      <x:c r="O88" s="84" t="n">
        <x:v>1</x:v>
      </x:c>
      <x:c r="P88" s="84" t="n">
        <x:v>0</x:v>
      </x:c>
      <x:c r="Q88" s="84" t="n">
        <x:v>0</x:v>
      </x:c>
      <x:c r="R88" s="82" t="str">
        <x:f>IF(J88="Complete","Review - workbook says Complete","Active backlog")</x:f>
        <x:v>Active backlog</x:v>
      </x:c>
      <x:c r="S88" s="82" t="str">
        <x:v>Looking to see if there is a way to automatically move an asset to a “Consumed” location after it has been used to repair another asset. Currently, the system just marks the asset as sold and it remains in its current location. I’m hoping this process could be automated—similar to when an asset is consumed on an opportunity and its location is transferred to Shipping.</x:v>
      </x:c>
    </x:row>
    <x:row r="89" ht="34" customHeight="1">
      <x:c r="A89" s="85" t="str">
        <x:v>00009386</x:v>
      </x:c>
      <x:c r="B89" s="82" t="str">
        <x:v>Warranty Contract Duplication</x:v>
      </x:c>
      <x:c r="C89" s="81" t="str">
        <x:v>In progress</x:v>
      </x:c>
      <x:c r="D89" s="81" t="str">
        <x:v>Medium</x:v>
      </x:c>
      <x:c r="E89" s="81" t="str">
        <x:v>Mindy Bender</x:v>
      </x:c>
      <x:c r="F89" s="81" t="str">
        <x:v>Salesforce Improvement</x:v>
      </x:c>
      <x:c r="G89" s="81" t="str">
        <x:v>Opportunity</x:v>
      </x:c>
      <x:c r="H89" s="82" t="str">
        <x:v>New Fields</x:v>
      </x:c>
      <x:c r="I89" s="82" t="str">
        <x:v>Design</x:v>
      </x:c>
      <x:c r="J89" s="82" t="str">
        <x:v>Projects (Major and Minor)</x:v>
      </x:c>
      <x:c r="K89" s="82" t="str">
        <x:v>Natalie Boger</x:v>
      </x:c>
      <x:c r="L89" s="83" t="n">
        <x:v>46021.17049768518</x:v>
      </x:c>
      <x:c r="M89" s="83" t="n">
        <x:v>46023.19076388889</x:v>
      </x:c>
      <x:c r="N89" s="84" t="n">
        <x:v>3</x:v>
      </x:c>
      <x:c r="O89" s="84" t="n">
        <x:v>1</x:v>
      </x:c>
      <x:c r="P89" s="84" t="n">
        <x:v>0</x:v>
      </x:c>
      <x:c r="Q89" s="84" t="n">
        <x:v>0</x:v>
      </x:c>
      <x:c r="R89" s="82" t="str">
        <x:f>IF(J89="Complete","Review - workbook says Complete","Active backlog")</x:f>
        <x:v>Active backlog</x:v>
      </x:c>
      <x:c r="S89" s="82" t="str">
        <x:v>Duplicate contracts are being created when opportunities are being modified after "Closed Won" with a ship date.  The Create Warranty Service Contract flow needs to verify if a current warranty contract exists and modify lines if so.
Example: "Alta Medical Solutions - Warranty Contract - Alta Medical Solutions-Mindray M6" was created 3 times.</x:v>
      </x:c>
    </x:row>
    <x:row r="90" ht="34" customHeight="1">
      <x:c r="A90" s="85" t="str">
        <x:v>00009440</x:v>
      </x:c>
      <x:c r="B90" s="82" t="str">
        <x:v>Warehouse stock list transfer to SF</x:v>
      </x:c>
      <x:c r="C90" s="81" t="str">
        <x:v>In progress</x:v>
      </x:c>
      <x:c r="D90" s="81" t="str">
        <x:v>Medium</x:v>
      </x:c>
      <x:c r="E90" s="81" t="str">
        <x:v>Gretchen Scarborough</x:v>
      </x:c>
      <x:c r="F90" s="81" t="str">
        <x:v>Administrative (Reports &amp; Dashboards)</x:v>
      </x:c>
      <x:c r="G90" s="81" t="str">
        <x:v>Product</x:v>
      </x:c>
      <x:c r="H90" s="82" t="str">
        <x:v>Dashboards/Reports/Notifications</x:v>
      </x:c>
      <x:c r="I90" s="82" t="str">
        <x:v>Design</x:v>
      </x:c>
      <x:c r="J90" s="82" t="str">
        <x:v>Projects (Major and Minor)</x:v>
      </x:c>
      <x:c r="K90" s="82" t="str">
        <x:v>Natalie Boger</x:v>
      </x:c>
      <x:c r="L90" s="83" t="n">
        <x:v>46029.96664351852</x:v>
      </x:c>
      <x:c r="M90" s="83" t="n">
        <x:v>46037.0153125</x:v>
      </x:c>
      <x:c r="N90" s="84" t="n">
        <x:v>3</x:v>
      </x:c>
      <x:c r="O90" s="84" t="n">
        <x:v>2</x:v>
      </x:c>
      <x:c r="P90" s="84" t="n">
        <x:v>0</x:v>
      </x:c>
      <x:c r="Q90" s="84" t="n">
        <x:v>0</x:v>
      </x:c>
      <x:c r="R90" s="82" t="str">
        <x:f>IF(J90="Complete","Review - workbook says Complete","Active backlog")</x:f>
        <x:v>Active backlog</x:v>
      </x:c>
      <x:c r="S90" s="82" t="str">
        <x:v>Warehouse stock list transfer to SF</x:v>
      </x:c>
    </x:row>
    <x:row r="91" ht="34" customHeight="1">
      <x:c r="A91" s="85" t="str">
        <x:v>00009479</x:v>
      </x:c>
      <x:c r="B91" s="82" t="str">
        <x:v>2159-3504 - Not Updating Usage</x:v>
      </x:c>
      <x:c r="C91" s="81" t="str">
        <x:v>In progress</x:v>
      </x:c>
      <x:c r="D91" s="81" t="str">
        <x:v>Medium</x:v>
      </x:c>
      <x:c r="E91" s="81" t="str">
        <x:v>Blake Nielsen</x:v>
      </x:c>
      <x:c r="F91" s="81" t="str">
        <x:v>Other</x:v>
      </x:c>
      <x:c r="G91" s="81" t="str">
        <x:v>Product</x:v>
      </x:c>
      <x:c r="H91" s="82" t="str">
        <x:v>BUG</x:v>
      </x:c>
      <x:c r="I91" s="82" t="str">
        <x:v>Design</x:v>
      </x:c>
      <x:c r="J91" s="82" t="str">
        <x:v>Errors &amp; Just do its</x:v>
      </x:c>
      <x:c r="K91" s="82" t="str">
        <x:v>Natalie Boger</x:v>
      </x:c>
      <x:c r="L91" s="83" t="n">
        <x:v>46036.991585648146</x:v>
      </x:c>
      <x:c r="M91" s="83" t="n">
        <x:v>46245.29215277778</x:v>
      </x:c>
      <x:c r="N91" s="84" t="n">
        <x:v>4</x:v>
      </x:c>
      <x:c r="O91" s="84" t="n">
        <x:v>1</x:v>
      </x:c>
      <x:c r="P91" s="84" t="n">
        <x:v>0</x:v>
      </x:c>
      <x:c r="Q91" s="84" t="n">
        <x:v>1</x:v>
      </x:c>
      <x:c r="R91" s="82" t="str">
        <x:f>IF(J91="Complete","Review - workbook says Complete","Active backlog")</x:f>
        <x:v>Active backlog</x:v>
      </x:c>
      <x:c r="S91" s="82" t="str">
        <x:v>2159-3504 - Not Updating Usage as we have recent movement and historical requests on closed won opportunities. The product page is not updating usage or driving parts priority ratings correctly.  Can we assess why this is not driving our numbers. - See attached image</x:v>
      </x:c>
    </x:row>
    <x:row r="92" ht="34" customHeight="1">
      <x:c r="A92" s="85" t="str">
        <x:v>00009516</x:v>
      </x:c>
      <x:c r="B92" s="82" t="str">
        <x:v>Improvements needed for endoscopy evals and tests</x:v>
      </x:c>
      <x:c r="C92" s="81" t="str">
        <x:v>In progress</x:v>
      </x:c>
      <x:c r="D92" s="81" t="str">
        <x:v>Medium</x:v>
      </x:c>
      <x:c r="E92" s="81" t="str">
        <x:v>Natalie Boger</x:v>
      </x:c>
      <x:c r="F92" s="81" t="str">
        <x:v>Salesforce Improvement</x:v>
      </x:c>
      <x:c r="G92" s="81" t="str">
        <x:v>Evaluation</x:v>
      </x:c>
      <x:c r="H92" s="82" t="str">
        <x:v>New/Edit Workflows, New/Edit Fields</x:v>
      </x:c>
      <x:c r="I92" s="82" t="str">
        <x:v>Build/Unit Testing</x:v>
      </x:c>
      <x:c r="J92" s="82" t="str">
        <x:v>Projects (Major and Minor)</x:v>
      </x:c>
      <x:c r="K92" s="82" t="str">
        <x:v>Natalie Boger</x:v>
      </x:c>
      <x:c r="L92" s="83" t="n">
        <x:v>46044.496666666666</x:v>
      </x:c>
      <x:c r="M92" s="83" t="n">
        <x:v>46044.496666666666</x:v>
      </x:c>
      <x:c r="N92" s="84" t="n">
        <x:v>1</x:v>
      </x:c>
      <x:c r="O92" s="84" t="n">
        <x:v>0</x:v>
      </x:c>
      <x:c r="P92" s="84" t="n">
        <x:v>0</x:v>
      </x:c>
      <x:c r="Q92" s="84" t="n">
        <x:v>0</x:v>
      </x:c>
      <x:c r="R92" s="82" t="str">
        <x:f>IF(J92="Complete","Review - workbook says Complete","Active backlog")</x:f>
        <x:v>Active backlog</x:v>
      </x:c>
      <x:c r="S92" s="82" t="str">
        <x:v>Several issues (Yasmina sent through emails)</x:v>
      </x:c>
    </x:row>
    <x:row r="93" ht="34" customHeight="1">
      <x:c r="A93" s="85" t="str">
        <x:v>00009601</x:v>
      </x:c>
      <x:c r="B93" s="82" t="str">
        <x:v>Invoice I-128167</x:v>
      </x:c>
      <x:c r="C93" s="81" t="str">
        <x:v>In progress</x:v>
      </x:c>
      <x:c r="D93" s="81" t="str">
        <x:v>Medium</x:v>
      </x:c>
      <x:c r="E93" s="81" t="str">
        <x:v>Carmen Montalvo</x:v>
      </x:c>
      <x:c r="F93" s="81" t="str">
        <x:v>Salesforce Error</x:v>
      </x:c>
      <x:c r="G93" s="81" t="str">
        <x:v>Invoice</x:v>
      </x:c>
      <x:c r="H93" s="82" t="str">
        <x:v>BUG</x:v>
      </x:c>
      <x:c r="I93" s="82" t="str">
        <x:v>?</x:v>
      </x:c>
      <x:c r="J93" s="82" t="str">
        <x:v>Errors &amp; Just do its</x:v>
      </x:c>
      <x:c r="K93" s="82" t="str">
        <x:v>Sacha Pearce</x:v>
      </x:c>
      <x:c r="L93" s="83" t="n">
        <x:v>46063.10400462963</x:v>
      </x:c>
      <x:c r="M93" s="83" t="n">
        <x:v>46108.05767361111</x:v>
      </x:c>
      <x:c r="N93" s="84" t="n">
        <x:v>2</x:v>
      </x:c>
      <x:c r="O93" s="84" t="n">
        <x:v>1</x:v>
      </x:c>
      <x:c r="P93" s="84" t="n">
        <x:v>0</x:v>
      </x:c>
      <x:c r="Q93" s="84" t="n">
        <x:v>0</x:v>
      </x:c>
      <x:c r="R93" s="82" t="str">
        <x:f>IF(J93="Complete","Review - workbook says Complete","Active backlog")</x:f>
        <x:v>Active backlog</x:v>
      </x:c>
      <x:c r="S93" s="82" t="str">
        <x:v>customer received in Chrome message</x:v>
      </x:c>
    </x:row>
    <x:row r="94" ht="34" customHeight="1">
      <x:c r="A94" s="85" t="str">
        <x:v>00010082</x:v>
      </x:c>
      <x:c r="B94" s="82" t="str">
        <x:v>assets</x:v>
      </x:c>
      <x:c r="C94" s="81" t="str">
        <x:v>In progress</x:v>
      </x:c>
      <x:c r="D94" s="81" t="str">
        <x:v>Medium</x:v>
      </x:c>
      <x:c r="E94" s="81" t="str">
        <x:v>Sean Bagley</x:v>
      </x:c>
      <x:c r="F94" s="81" t="str">
        <x:v>Other</x:v>
      </x:c>
      <x:c r="G94" s="81" t="str">
        <x:v>Account</x:v>
      </x:c>
      <x:c r="H94" s="82" t="str">
        <x:v>Validation Rules/Access</x:v>
      </x:c>
      <x:c r="I94" s="82" t="str">
        <x:v>?</x:v>
      </x:c>
      <x:c r="J94" s="82" t="str">
        <x:v>Errors &amp; Just do its</x:v>
      </x:c>
      <x:c r="K94" s="82" t="str">
        <x:v>Lisa Litviak</x:v>
      </x:c>
      <x:c r="L94" s="83" t="n">
        <x:v>46162.973715277774</x:v>
      </x:c>
      <x:c r="M94" s="83" t="n">
        <x:v>46163.03166666667</x:v>
      </x:c>
      <x:c r="N94" s="84" t="n">
        <x:v>3</x:v>
      </x:c>
      <x:c r="O94" s="84" t="n">
        <x:v>3</x:v>
      </x:c>
      <x:c r="P94" s="84" t="n">
        <x:v>0</x:v>
      </x:c>
      <x:c r="Q94" s="84" t="n">
        <x:v>0</x:v>
      </x:c>
      <x:c r="R94" s="82" t="str">
        <x:f>IF(J94="Complete","Review - workbook says Complete","Active backlog")</x:f>
        <x:v>Active backlog</x:v>
      </x:c>
      <x:c r="S94" s="82" t="str">
        <x:v>i cant look at an assert and do a product test</x:v>
      </x:c>
    </x:row>
    <x:row r="95" ht="34" customHeight="1">
      <x:c r="A95" s="85" t="str">
        <x:v>00010270</x:v>
      </x:c>
      <x:c r="B95" s="82" t="str">
        <x:v>Asset Creation</x:v>
      </x:c>
      <x:c r="C95" s="81" t="str">
        <x:v>In progress</x:v>
      </x:c>
      <x:c r="D95" s="81" t="str">
        <x:v>Medium</x:v>
      </x:c>
      <x:c r="E95" s="81" t="str">
        <x:v>Ethan Ferrell</x:v>
      </x:c>
      <x:c r="F95" s="81" t="str">
        <x:v>Administrative (Reports &amp; Dashboards)</x:v>
      </x:c>
      <x:c r="G95" s="81" t="str">
        <x:v>Asset2</x:v>
      </x:c>
      <x:c r="H95" s="82" t="str">
        <x:v>New/Edit Workflows</x:v>
      </x:c>
      <x:c r="I95" s="82" t="str">
        <x:v>Build/Unit Testing</x:v>
      </x:c>
      <x:c r="J95" s="82" t="str">
        <x:v>Projects (Major and Minor)</x:v>
      </x:c>
      <x:c r="K95" s="82" t="str">
        <x:v>Natalie Boger</x:v>
      </x:c>
      <x:c r="L95" s="83" t="n">
        <x:v>46202.96396990741</x:v>
      </x:c>
      <x:c r="M95" s="83" t="n">
        <x:v>46225.33212962963</x:v>
      </x:c>
      <x:c r="N95" s="84" t="n">
        <x:v>5</x:v>
      </x:c>
      <x:c r="O95" s="84" t="n">
        <x:v>2</x:v>
      </x:c>
      <x:c r="P95" s="84" t="n">
        <x:v>0</x:v>
      </x:c>
      <x:c r="Q95" s="84" t="n">
        <x:v>0</x:v>
      </x:c>
      <x:c r="R95" s="82" t="str">
        <x:f>IF(J95="Complete","Review - workbook says Complete","Active backlog")</x:f>
        <x:v>Active backlog</x:v>
      </x:c>
      <x:c r="S95" s="82" t="str">
        <x:v>During creation of an asset from a product page, with a part record type, the product analytics product name does not populate. This input box should be filled with the same data as the product name box at the top.</x:v>
      </x:c>
    </x:row>
    <x:row r="96" ht="34" customHeight="1">
      <x:c r="A96" s="85" t="str">
        <x:v>00009087</x:v>
      </x:c>
      <x:c r="B96" s="82" t="str">
        <x:v>Part Number not puling in PO Product</x:v>
      </x:c>
      <x:c r="C96" s="81" t="str">
        <x:v>New</x:v>
      </x:c>
      <x:c r="D96" s="81" t="str">
        <x:v>Medium</x:v>
      </x:c>
      <x:c r="E96" s="81" t="str">
        <x:v>Tom Meredith</x:v>
      </x:c>
      <x:c r="F96" s="81" t="str">
        <x:v>Salesforce Improvement</x:v>
      </x:c>
      <x:c r="G96" s="81" t="str">
        <x:v>Opportunity</x:v>
      </x:c>
      <x:c r="H96" s="82" t="str">
        <x:v>New/Edit Workflows, Dashboards/Reports/Notifications, New/Edit Fields</x:v>
      </x:c>
      <x:c r="I96" s="82" t="str">
        <x:v>Not Yet Started</x:v>
      </x:c>
      <x:c r="J96" s="82" t="str">
        <x:v>Projects (Major and Minor)</x:v>
      </x:c>
      <x:c r="K96" s="82" t="str">
        <x:v>Sacha Pearce</x:v>
      </x:c>
      <x:c r="L96" s="83" t="n">
        <x:v>45958.623703703706</x:v>
      </x:c>
      <x:c r="M96" s="83" t="n">
        <x:v>46107.91</x:v>
      </x:c>
      <x:c r="N96" s="84" t="n">
        <x:v>4</x:v>
      </x:c>
      <x:c r="O96" s="84" t="n">
        <x:v>2</x:v>
      </x:c>
      <x:c r="P96" s="84" t="n">
        <x:v>1</x:v>
      </x:c>
      <x:c r="Q96" s="84" t="n">
        <x:v>0</x:v>
      </x:c>
      <x:c r="R96" s="82" t="str">
        <x:f>IF(J96="Complete","Review - workbook says Complete","Active backlog")</x:f>
        <x:v>Active backlog</x:v>
      </x:c>
      <x:c r="S96" s="82" t="str">
        <x:v>need Part number to pull through in to the product field. This is needed to be done manually but should automatically pull through from the designated product. There is a field visible on the PO Product but it does not get populated.
Once resolved to pull in the PO - can this also be added to pull in to the Purchase Order Pandadoc? Can we get this pulled in to the Description box after the Product Name?</x:v>
      </x:c>
    </x:row>
    <x:row r="97" ht="34" customHeight="1">
      <x:c r="A97" s="85" t="str">
        <x:v>00009220</x:v>
      </x:c>
      <x:c r="B97" s="82" t="str">
        <x:v>Parts requiring return option within FSL SA close out</x:v>
      </x:c>
      <x:c r="C97" s="81" t="str">
        <x:v>New</x:v>
      </x:c>
      <x:c r="D97" s="81" t="str">
        <x:v>Medium</x:v>
      </x:c>
      <x:c r="E97" s="81" t="str">
        <x:v>Tom Meredith</x:v>
      </x:c>
      <x:c r="F97" s="81" t="str">
        <x:v>Salesforce Improvement</x:v>
      </x:c>
      <x:c r="G97" s="81" t="str">
        <x:v>Field Service Lightning</x:v>
      </x:c>
      <x:c r="H97" s="82" t="str">
        <x:v>New/Edit Workflows, Dashboards/Reports/Notifications, New/Edit Fields</x:v>
      </x:c>
      <x:c r="I97" s="82" t="str">
        <x:v>Not Yet Started</x:v>
      </x:c>
      <x:c r="J97" s="82" t="str">
        <x:v>Projects (Major and Minor)</x:v>
      </x:c>
      <x:c r="K97" s="82" t="str">
        <x:v>Sacha Pearce</x:v>
      </x:c>
      <x:c r="L97" s="83" t="n">
        <x:v>45981.63903935185</x:v>
      </x:c>
      <x:c r="M97" s="83" t="n">
        <x:v>46071.7999537037</x:v>
      </x:c>
      <x:c r="N97" s="84" t="n">
        <x:v>4</x:v>
      </x:c>
      <x:c r="O97" s="84" t="n">
        <x:v>2</x:v>
      </x:c>
      <x:c r="P97" s="84" t="n">
        <x:v>1</x:v>
      </x:c>
      <x:c r="Q97" s="84" t="n">
        <x:v>0</x:v>
      </x:c>
      <x:c r="R97" s="82" t="str">
        <x:f>IF(J97="Complete","Review - workbook says Complete","Active backlog")</x:f>
        <x:v>Active backlog</x:v>
      </x:c>
      <x:c r="S97" s="82" t="str">
        <x:v>if parts are too large or heavy for engineer to return, can we have a method for flagging parts needing return. will need input from Jon Kean, and stores/logitics for info required.
Could this lead on to automation/filling from the engineer on FSL rather than physical labels of on the part (part status and warranty claim/core exchange on the RMA associated with the asset)</x:v>
      </x:c>
    </x:row>
    <x:row r="98" ht="34" customHeight="1">
      <x:c r="A98" s="85" t="str">
        <x:v>00009312</x:v>
      </x:c>
      <x:c r="B98" s="82" t="str">
        <x:v>FSL - can the SA details be visible on clicking the appointment ie "reason for return visit" as it currently brings up the WO as opposed to SA</x:v>
      </x:c>
      <x:c r="C98" s="81" t="str">
        <x:v>New</x:v>
      </x:c>
      <x:c r="D98" s="81" t="str">
        <x:v>High</x:v>
      </x:c>
      <x:c r="E98" s="81" t="str">
        <x:v>Tom Meredith</x:v>
      </x:c>
      <x:c r="F98" s="81" t="str">
        <x:v>Salesforce Improvement</x:v>
      </x:c>
      <x:c r="G98" s="81" t="str">
        <x:v>Field Service Lightning</x:v>
      </x:c>
      <x:c r="H98" s="82" t="str">
        <x:v>New/Edit Workflows, New/Edit Fields</x:v>
      </x:c>
      <x:c r="I98" s="82" t="str">
        <x:v>Not Yet Started</x:v>
      </x:c>
      <x:c r="J98" s="82" t="str">
        <x:v>Projects (Major and Minor)</x:v>
      </x:c>
      <x:c r="K98" s="82" t="str">
        <x:v>Sacha Pearce</x:v>
      </x:c>
      <x:c r="L98" s="83" t="n">
        <x:v>46002.68664351852</x:v>
      </x:c>
      <x:c r="M98" s="83" t="n">
        <x:v>46107.91</x:v>
      </x:c>
      <x:c r="N98" s="84" t="n">
        <x:v>3</x:v>
      </x:c>
      <x:c r="O98" s="84" t="n">
        <x:v>1</x:v>
      </x:c>
      <x:c r="P98" s="84" t="n">
        <x:v>0</x:v>
      </x:c>
      <x:c r="Q98" s="84" t="n">
        <x:v>0</x:v>
      </x:c>
      <x:c r="R98" s="82" t="str">
        <x:f>IF(J98="Complete","Review - workbook says Complete","Active backlog")</x:f>
        <x:v>Active backlog</x:v>
      </x:c>
      <x:c r="S98" s="82" t="str">
        <x:v>the fault description seen on clicking the SA in the app displays the Work Order description, and not the SA - this fault can change between visits and can be confusing for engineer. We have had instances where the engineer has action the WO description, as opposed to the SA. Can this be changed to reflect the latest SA? (and the SA number displayed in the schedule screen)</x:v>
      </x:c>
    </x:row>
    <x:row r="99" ht="34" customHeight="1">
      <x:c r="A99" s="85" t="str">
        <x:v>00009343</x:v>
      </x:c>
      <x:c r="B99" s="82" t="str">
        <x:v>Add status to SA</x:v>
      </x:c>
      <x:c r="C99" s="81" t="str">
        <x:v>New</x:v>
      </x:c>
      <x:c r="D99" s="81" t="str">
        <x:v>Medium</x:v>
      </x:c>
      <x:c r="E99" s="81" t="str">
        <x:v>Harriet Langley</x:v>
      </x:c>
      <x:c r="F99" s="81" t="str">
        <x:v>Salesforce Improvement</x:v>
      </x:c>
      <x:c r="G99" s="81" t="str">
        <x:v>Field Service Lightning</x:v>
      </x:c>
      <x:c r="H99" s="82" t="str">
        <x:v>Data</x:v>
      </x:c>
      <x:c r="I99" s="82" t="str">
        <x:v>?</x:v>
      </x:c>
      <x:c r="J99" s="82" t="str">
        <x:v>Errors &amp; Just do its</x:v>
      </x:c>
      <x:c r="K99" s="82" t="str">
        <x:v>Sacha Pearce</x:v>
      </x:c>
      <x:c r="L99" s="83" t="n">
        <x:v>46009.66048611111</x:v>
      </x:c>
      <x:c r="M99" s="83" t="n">
        <x:v>46071.80045138889</x:v>
      </x:c>
      <x:c r="N99" s="84" t="n">
        <x:v>1</x:v>
      </x:c>
      <x:c r="O99" s="84" t="n">
        <x:v>0</x:v>
      </x:c>
      <x:c r="P99" s="84" t="n">
        <x:v>0</x:v>
      </x:c>
      <x:c r="Q99" s="84" t="n">
        <x:v>0</x:v>
      </x:c>
      <x:c r="R99" s="82" t="str">
        <x:f>IF(J99="Complete","Review - workbook says Complete","Active backlog")</x:f>
        <x:v>Active backlog</x:v>
      </x:c>
      <x:c r="S99" s="82" t="str">
        <x:v>Please could ''closed'' be added as a option to select in the status of an SA</x:v>
      </x:c>
    </x:row>
    <x:row r="100" ht="34" customHeight="1">
      <x:c r="A100" s="85" t="str">
        <x:v>00009347</x:v>
      </x:c>
      <x:c r="B100" s="82" t="str">
        <x:v>Service Opps</x:v>
      </x:c>
      <x:c r="C100" s="81" t="str">
        <x:v>New</x:v>
      </x:c>
      <x:c r="D100" s="81" t="str">
        <x:v>Medium</x:v>
      </x:c>
      <x:c r="E100" s="81" t="str">
        <x:v>Nicky Lloyd-Jones</x:v>
      </x:c>
      <x:c r="F100" s="81" t="str">
        <x:v>Salesforce Improvement</x:v>
      </x:c>
      <x:c r="G100" s="81" t="str">
        <x:v>Opportunity</x:v>
      </x:c>
      <x:c r="H100" s="82" t="str">
        <x:v>New/Edit Workflows, New/Edit Fields</x:v>
      </x:c>
      <x:c r="I100" s="82" t="str">
        <x:v>Requirement Gathering</x:v>
      </x:c>
      <x:c r="J100" s="82" t="str">
        <x:v>Projects (Major and Minor)</x:v>
      </x:c>
      <x:c r="K100" s="82" t="str">
        <x:v>Sacha Pearce</x:v>
      </x:c>
      <x:c r="L100" s="83" t="n">
        <x:v>46010.739016203705</x:v>
      </x:c>
      <x:c r="M100" s="83" t="n">
        <x:v>46107.91327546296</x:v>
      </x:c>
      <x:c r="N100" s="84" t="n">
        <x:v>1</x:v>
      </x:c>
      <x:c r="O100" s="84" t="n">
        <x:v>0</x:v>
      </x:c>
      <x:c r="P100" s="84" t="n">
        <x:v>0</x:v>
      </x:c>
      <x:c r="Q100" s="84" t="n">
        <x:v>0</x:v>
      </x:c>
      <x:c r="R100" s="82" t="str">
        <x:f>IF(J100="Complete","Review - workbook says Complete","Active backlog")</x:f>
        <x:v>Active backlog</x:v>
      </x:c>
      <x:c r="S100" s="82" t="str">
        <x:v>For any Service Opps with NHS Supply chain as the account  can we take off 5%, then 2% off the total and have another field  with the discounted value in?</x:v>
      </x:c>
    </x:row>
    <x:row r="101" ht="34" customHeight="1">
      <x:c r="A101" s="85" t="str">
        <x:v>00009448</x:v>
      </x:c>
      <x:c r="B101" s="82" t="str">
        <x:v>Patient Data</x:v>
      </x:c>
      <x:c r="C101" s="81" t="str">
        <x:v>New</x:v>
      </x:c>
      <x:c r="D101" s="81" t="str">
        <x:v>Medium</x:v>
      </x:c>
      <x:c r="E101" s="81" t="str">
        <x:v>Jennifer Armstrong</x:v>
      </x:c>
      <x:c r="F101" s="81" t="str">
        <x:v>Other</x:v>
      </x:c>
      <x:c r="G101" s="81" t="str">
        <x:v>Asset2</x:v>
      </x:c>
      <x:c r="H101" s="82" t="str">
        <x:v>New/Edit Fields</x:v>
      </x:c>
      <x:c r="I101" s="82" t="str">
        <x:v>Not Yet Started</x:v>
      </x:c>
      <x:c r="J101" s="82" t="str">
        <x:v>Projects (Major and Minor)</x:v>
      </x:c>
      <x:c r="K101" s="82" t="str">
        <x:v>Natalie Boger</x:v>
      </x:c>
      <x:c r="L101" s="83" t="n">
        <x:v>46030.98762731482</x:v>
      </x:c>
      <x:c r="M101" s="83" t="n">
        <x:v>46031.33446759259</x:v>
      </x:c>
      <x:c r="N101" s="84" t="n">
        <x:v>1</x:v>
      </x:c>
      <x:c r="O101" s="84" t="n">
        <x:v>0</x:v>
      </x:c>
      <x:c r="P101" s="84" t="n">
        <x:v>0</x:v>
      </x:c>
      <x:c r="Q101" s="84" t="n">
        <x:v>0</x:v>
      </x:c>
      <x:c r="R101" s="82" t="str">
        <x:f>IF(J101="Complete","Review - workbook says Complete","Active backlog")</x:f>
        <x:v>Active backlog</x:v>
      </x:c>
      <x:c r="S101" s="82" t="str">
        <x:v>Check box</x:v>
      </x:c>
    </x:row>
    <x:row r="102" ht="34" customHeight="1">
      <x:c r="A102" s="85" t="str">
        <x:v>00009450</x:v>
      </x:c>
      <x:c r="B102" s="82" t="str">
        <x:v>Unqualified Drop-down menu</x:v>
      </x:c>
      <x:c r="C102" s="81" t="str">
        <x:v>New</x:v>
      </x:c>
      <x:c r="D102" s="81" t="str">
        <x:v>Medium</x:v>
      </x:c>
      <x:c r="E102" s="81" t="str">
        <x:v>Julie Nickerson</x:v>
      </x:c>
      <x:c r="F102" s="81" t="str">
        <x:v>Salesforce Improvement</x:v>
      </x:c>
      <x:c r="G102" s="81" t="str">
        <x:v>Lead</x:v>
      </x:c>
      <x:c r="H102" s="82" t="str">
        <x:v>New/Edit Fields</x:v>
      </x:c>
      <x:c r="I102" s="82" t="str">
        <x:v>Not Yet Started</x:v>
      </x:c>
      <x:c r="J102" s="82" t="str">
        <x:v>Projects (Major and Minor)</x:v>
      </x:c>
      <x:c r="K102" s="82" t="str">
        <x:v>Natalie Boger</x:v>
      </x:c>
      <x:c r="L102" s="83" t="n">
        <x:v>46031.13377314815</x:v>
      </x:c>
      <x:c r="M102" s="83" t="n">
        <x:v>46031.33798611111</x:v>
      </x:c>
      <x:c r="N102" s="84" t="n">
        <x:v>1</x:v>
      </x:c>
      <x:c r="O102" s="84" t="n">
        <x:v>0</x:v>
      </x:c>
      <x:c r="P102" s="84" t="n">
        <x:v>0</x:v>
      </x:c>
      <x:c r="Q102" s="84" t="n">
        <x:v>0</x:v>
      </x:c>
      <x:c r="R102" s="82" t="str">
        <x:f>IF(J102="Complete","Review - workbook says Complete","Active backlog")</x:f>
        <x:v>Active backlog</x:v>
      </x:c>
      <x:c r="S102" s="82" t="str">
        <x:v>Please add to the unqualified drop down menu: Order Cancelled or No Longer Needed.</x:v>
      </x:c>
    </x:row>
    <x:row r="103" ht="34" customHeight="1">
      <x:c r="A103" s="85" t="str">
        <x:v>00009455</x:v>
      </x:c>
      <x:c r="B103" s="82" t="str">
        <x:v>Notification - Financial Information</x:v>
      </x:c>
      <x:c r="C103" s="81" t="str">
        <x:v>New</x:v>
      </x:c>
      <x:c r="D103" s="81" t="str">
        <x:v>Medium</x:v>
      </x:c>
      <x:c r="E103" s="81" t="str">
        <x:v>Ben Rice</x:v>
      </x:c>
      <x:c r="F103" s="81" t="str">
        <x:v>Other</x:v>
      </x:c>
      <x:c r="G103" s="81" t="str">
        <x:v>OTHER</x:v>
      </x:c>
      <x:c r="H103" s="82" t="str">
        <x:v>Email Alerts</x:v>
      </x:c>
      <x:c r="I103" s="82" t="str">
        <x:v>Not Yet Started</x:v>
      </x:c>
      <x:c r="J103" s="82" t="str">
        <x:v>Projects (Major and Minor)</x:v>
      </x:c>
      <x:c r="K103" s="82" t="str">
        <x:v>Sacha Pearce</x:v>
      </x:c>
      <x:c r="L103" s="83" t="n">
        <x:v>46032.02199074074</x:v>
      </x:c>
      <x:c r="M103" s="83" t="n">
        <x:v>46107.92300925926</x:v>
      </x:c>
      <x:c r="N103" s="84" t="n">
        <x:v>1</x:v>
      </x:c>
      <x:c r="O103" s="84" t="n">
        <x:v>0</x:v>
      </x:c>
      <x:c r="P103" s="84" t="n">
        <x:v>0</x:v>
      </x:c>
      <x:c r="Q103" s="84" t="n">
        <x:v>0</x:v>
      </x:c>
      <x:c r="R103" s="82" t="str">
        <x:f>IF(J103="Complete","Review - workbook says Complete","Active backlog")</x:f>
        <x:v>Active backlog</x:v>
      </x:c>
      <x:c r="S103" s="82" t="str">
        <x:v>I want to get a notification when the financial info fields on my sales opp's are updated, the payment status and confirmation fields</x:v>
      </x:c>
    </x:row>
    <x:row r="104" ht="34" customHeight="1">
      <x:c r="A104" s="85" t="str">
        <x:v>00009522</x:v>
      </x:c>
      <x:c r="B104" s="82" t="str">
        <x:v>Adjust Permissions</x:v>
      </x:c>
      <x:c r="C104" s="81" t="str">
        <x:v>New</x:v>
      </x:c>
      <x:c r="D104" s="81" t="str">
        <x:v>Medium</x:v>
      </x:c>
      <x:c r="E104" s="81" t="str">
        <x:v>Kris Nelson</x:v>
      </x:c>
      <x:c r="F104" s="81" t="str">
        <x:v>Other</x:v>
      </x:c>
      <x:c r="G104" s="81" t="str">
        <x:v>Permission(s)/Permission Set</x:v>
      </x:c>
      <x:c r="H104" s="82" t="str">
        <x:v>Validation Rules/Access</x:v>
      </x:c>
      <x:c r="I104" s="82" t="str">
        <x:v>?</x:v>
      </x:c>
      <x:c r="J104" s="82" t="str">
        <x:v>Errors &amp; Just do its</x:v>
      </x:c>
      <x:c r="K104" s="82" t="str">
        <x:v>Lisa Litviak</x:v>
      </x:c>
      <x:c r="L104" s="83" t="n">
        <x:v>46045.998090277775</x:v>
      </x:c>
      <x:c r="M104" s="83" t="n">
        <x:v>46108.088912037034</x:v>
      </x:c>
      <x:c r="N104" s="84" t="n">
        <x:v>1</x:v>
      </x:c>
      <x:c r="O104" s="84" t="n">
        <x:v>0</x:v>
      </x:c>
      <x:c r="P104" s="84" t="n">
        <x:v>0</x:v>
      </x:c>
      <x:c r="Q104" s="84" t="n">
        <x:v>0</x:v>
      </x:c>
      <x:c r="R104" s="82" t="str">
        <x:f>IF(J104="Complete","Review - workbook says Complete","Active backlog")</x:f>
        <x:v>Active backlog</x:v>
      </x:c>
      <x:c r="S104" s="82" t="str">
        <x:v>Please adjust the permissions for Gina to not be able to close win an opportunity without the asset having been purchased approved.</x:v>
      </x:c>
    </x:row>
    <x:row r="105" ht="34" customHeight="1">
      <x:c r="A105" s="85" t="str">
        <x:v>00009589</x:v>
      </x:c>
      <x:c r="B105" s="82" t="str">
        <x:v>SA removed from Gant when SRI completed</x:v>
      </x:c>
      <x:c r="C105" s="81" t="str">
        <x:v>New</x:v>
      </x:c>
      <x:c r="D105" s="81" t="str">
        <x:v>Medium</x:v>
      </x:c>
      <x:c r="E105" s="81" t="str">
        <x:v>Trudy Gregory</x:v>
      </x:c>
      <x:c r="F105" s="81" t="str">
        <x:v>Administrative (Reports &amp; Dashboards)</x:v>
      </x:c>
      <x:c r="G105" s="81" t="str">
        <x:v>Work Order</x:v>
      </x:c>
      <x:c r="H105" s="82" t="str">
        <x:v>BUG</x:v>
      </x:c>
      <x:c r="I105" s="82" t="str">
        <x:v>?</x:v>
      </x:c>
      <x:c r="J105" s="82" t="str">
        <x:v>Errors &amp; Just do its</x:v>
      </x:c>
      <x:c r="K105" s="82" t="str">
        <x:v>Sacha Pearce</x:v>
      </x:c>
      <x:c r="L105" s="83" t="n">
        <x:v>46059.61056712963</x:v>
      </x:c>
      <x:c r="M105" s="83" t="n">
        <x:v>46248.644328703704</x:v>
      </x:c>
      <x:c r="N105" s="84" t="n">
        <x:v>1</x:v>
      </x:c>
      <x:c r="O105" s="84" t="n">
        <x:v>0</x:v>
      </x:c>
      <x:c r="P105" s="84" t="n">
        <x:v>0</x:v>
      </x:c>
      <x:c r="Q105" s="84" t="n">
        <x:v>0</x:v>
      </x:c>
      <x:c r="R105" s="82" t="str">
        <x:f>IF(J105="Complete","Review - workbook says Complete","Active backlog")</x:f>
        <x:v>Active backlog</x:v>
      </x:c>
      <x:c r="S105" s="82" t="str">
        <x:v>SA-17132 was booked and on Gant for Dave Milne to attend Monday 09/02/2026.  I also needed to source a button kit to send to the customer.  This arrived yesterday and SRI-00015817 was completed.  This has taken the SA off the Gant and back to internal</x:v>
      </x:c>
    </x:row>
    <x:row r="106" ht="34" customHeight="1">
      <x:c r="A106" s="85" t="str">
        <x:v>00009611</x:v>
      </x:c>
      <x:c r="B106" s="82" t="str">
        <x:v>Can we add "Customer Not Available" if engineer selects this in the customer signature section</x:v>
      </x:c>
      <x:c r="C106" s="81" t="str">
        <x:v>New</x:v>
      </x:c>
      <x:c r="D106" s="81" t="str">
        <x:v>Medium</x:v>
      </x:c>
      <x:c r="E106" s="81" t="str">
        <x:v>Tom Meredith</x:v>
      </x:c>
      <x:c r="F106" s="81" t="str">
        <x:v>Salesforce Improvement</x:v>
      </x:c>
      <x:c r="G106" s="81" t="str">
        <x:v>Field Service Lightning</x:v>
      </x:c>
      <x:c r="H106" s="82" t="str">
        <x:v>New/Edit Workflows, New/Edit Fields</x:v>
      </x:c>
      <x:c r="I106" s="82" t="str">
        <x:v>Not Yet Started</x:v>
      </x:c>
      <x:c r="J106" s="82" t="str">
        <x:v>Projects (Major and Minor)</x:v>
      </x:c>
      <x:c r="K106" s="82" t="str">
        <x:v>Sacha Pearce</x:v>
      </x:c>
      <x:c r="L106" s="83" t="n">
        <x:v>46064.63921296296</x:v>
      </x:c>
      <x:c r="M106" s="83" t="n">
        <x:v>46071.80054398148</x:v>
      </x:c>
      <x:c r="N106" s="84" t="n">
        <x:v>1</x:v>
      </x:c>
      <x:c r="O106" s="84" t="n">
        <x:v>0</x:v>
      </x:c>
      <x:c r="P106" s="84" t="n">
        <x:v>0</x:v>
      </x:c>
      <x:c r="Q106" s="84" t="n">
        <x:v>0</x:v>
      </x:c>
      <x:c r="R106" s="82" t="str">
        <x:f>IF(J106="Complete","Review - workbook says Complete","Active backlog")</x:f>
        <x:v>Active backlog</x:v>
      </x:c>
      <x:c r="S106" s="82" t="str">
        <x:v>Currently leaves the report blank - see SA-17573 - needs to populate something so it doesnt look like we have missed the signature by mistake</x:v>
      </x:c>
    </x:row>
    <x:row r="107" ht="34" customHeight="1">
      <x:c r="A107" s="85" t="str">
        <x:v>00009663</x:v>
      </x:c>
      <x:c r="B107" s="82" t="str">
        <x:v>Intacct Sync</x:v>
      </x:c>
      <x:c r="C107" s="81" t="str">
        <x:v>New</x:v>
      </x:c>
      <x:c r="D107" s="81" t="str">
        <x:v>Medium</x:v>
      </x:c>
      <x:c r="E107" s="81" t="str">
        <x:v>Louise Harrison</x:v>
      </x:c>
      <x:c r="F107" s="81" t="str">
        <x:v>Salesforce Error</x:v>
      </x:c>
      <x:c r="G107" s="81" t="str">
        <x:v>Intacct</x:v>
      </x:c>
      <x:c r="H107" s="82" t="str">
        <x:v>Data</x:v>
      </x:c>
      <x:c r="I107" s="82" t="str">
        <x:v>Not Yet Started</x:v>
      </x:c>
      <x:c r="J107" s="82" t="str">
        <x:v>Projects (Major and Minor)</x:v>
      </x:c>
      <x:c r="K107" s="82" t="str">
        <x:v>Sacha Pearce</x:v>
      </x:c>
      <x:c r="L107" s="83" t="n">
        <x:v>46076.76476851852</x:v>
      </x:c>
      <x:c r="M107" s="83" t="n">
        <x:v>46108.109988425924</x:v>
      </x:c>
      <x:c r="N107" s="84" t="n">
        <x:v>1</x:v>
      </x:c>
      <x:c r="O107" s="84" t="n">
        <x:v>0</x:v>
      </x:c>
      <x:c r="P107" s="84" t="n">
        <x:v>0</x:v>
      </x:c>
      <x:c r="Q107" s="84" t="n">
        <x:v>0</x:v>
      </x:c>
      <x:c r="R107" s="82" t="str">
        <x:f>IF(J107="Complete","Review - workbook says Complete","Active backlog")</x:f>
        <x:v>Active backlog</x:v>
      </x:c>
      <x:c r="S107" s="82" t="str">
        <x:v>Hello, when these opps are syncing to intacct no business unit is pulling accross, please could we include mechanical services as the business unit. this is also falling into non-contract service GL, when it should be 42300 mechanical services - non-conr</x:v>
      </x:c>
    </x:row>
    <x:row r="108" ht="34" customHeight="1">
      <x:c r="A108" s="85" t="str">
        <x:v>00009763</x:v>
      </x:c>
      <x:c r="B108" s="82" t="str">
        <x:v>Request for customer refund</x:v>
      </x:c>
      <x:c r="C108" s="81" t="str">
        <x:v>New</x:v>
      </x:c>
      <x:c r="D108" s="81" t="str">
        <x:v>Medium</x:v>
      </x:c>
      <x:c r="E108" s="81" t="str">
        <x:v>Krystie Green</x:v>
      </x:c>
      <x:c r="F108" s="81" t="str">
        <x:v>Other</x:v>
      </x:c>
      <x:c r="G108" s="81" t="str">
        <x:v>OTHER</x:v>
      </x:c>
      <x:c r="H108" s="82" t="str">
        <x:v>New/Edit Workflows, New/Edit Fields</x:v>
      </x:c>
      <x:c r="I108" s="82" t="str">
        <x:v>Not Yet Started</x:v>
      </x:c>
      <x:c r="J108" s="82" t="str">
        <x:v>Projects (Major and Minor)</x:v>
      </x:c>
      <x:c r="K108" s="82" t="str">
        <x:v>Sacha Pearce</x:v>
      </x:c>
      <x:c r="L108" s="83" t="n">
        <x:v>46094.867800925924</x:v>
      </x:c>
      <x:c r="M108" s="83" t="n">
        <x:v>46108.08693287037</x:v>
      </x:c>
      <x:c r="N108" s="84" t="n">
        <x:v>1</x:v>
      </x:c>
      <x:c r="O108" s="84" t="n">
        <x:v>0</x:v>
      </x:c>
      <x:c r="P108" s="84" t="n">
        <x:v>0</x:v>
      </x:c>
      <x:c r="Q108" s="84" t="n">
        <x:v>0</x:v>
      </x:c>
      <x:c r="R108" s="82" t="str">
        <x:f>IF(J108="Complete","Review - workbook says Complete","Active backlog")</x:f>
        <x:v>Active backlog</x:v>
      </x:c>
      <x:c r="S108" s="82" t="str">
        <x:v>Make the current emailing of a spredsheet into a SF automated process</x:v>
      </x:c>
    </x:row>
    <x:row r="109" ht="34" customHeight="1">
      <x:c r="A109" s="85" t="str">
        <x:v>00009765</x:v>
      </x:c>
      <x:c r="B109" s="82" t="str">
        <x:v>Lead Conversion</x:v>
      </x:c>
      <x:c r="C109" s="81" t="str">
        <x:v>New</x:v>
      </x:c>
      <x:c r="D109" s="81" t="str">
        <x:v>Medium</x:v>
      </x:c>
      <x:c r="E109" s="81" t="str">
        <x:v>Josh Sutton</x:v>
      </x:c>
      <x:c r="F109" s="81" t="str">
        <x:v>Other</x:v>
      </x:c>
      <x:c r="G109" s="81" t="str">
        <x:v>Lead</x:v>
      </x:c>
      <x:c r="H109" s="82" t="str">
        <x:v>BUG</x:v>
      </x:c>
      <x:c r="I109" s="82" t="str">
        <x:v>?</x:v>
      </x:c>
      <x:c r="J109" s="82" t="str">
        <x:v>Errors &amp; Just do its</x:v>
      </x:c>
      <x:c r="K109" s="82" t="str">
        <x:v>Sacha Pearce</x:v>
      </x:c>
      <x:c r="L109" s="83" t="n">
        <x:v>46094.99972222222</x:v>
      </x:c>
      <x:c r="M109" s="83" t="n">
        <x:v>46100.65378472222</x:v>
      </x:c>
      <x:c r="N109" s="84" t="n">
        <x:v>1</x:v>
      </x:c>
      <x:c r="O109" s="84" t="n">
        <x:v>0</x:v>
      </x:c>
      <x:c r="P109" s="84" t="n">
        <x:v>0</x:v>
      </x:c>
      <x:c r="Q109" s="84" t="n">
        <x:v>0</x:v>
      </x:c>
      <x:c r="R109" s="82" t="str">
        <x:f>IF(J109="Complete","Review - workbook says Complete","Active backlog")</x:f>
        <x:v>Active backlog</x:v>
      </x:c>
      <x:c r="S109" s="82" t="str">
        <x:v>Trying to convert and get an error message "Can't change billing address for an account that's been synced to intact".... I'm not changing the address.. Not even touching those fields</x:v>
      </x:c>
    </x:row>
    <x:row r="110" ht="34" customHeight="1">
      <x:c r="A110" s="85" t="str">
        <x:v>00009807</x:v>
      </x:c>
      <x:c r="B110" s="82" t="str">
        <x:v>Return from PO</x:v>
      </x:c>
      <x:c r="C110" s="81" t="str">
        <x:v>New</x:v>
      </x:c>
      <x:c r="D110" s="81" t="str">
        <x:v>Medium</x:v>
      </x:c>
      <x:c r="E110" s="81" t="str">
        <x:v>Yasmina Rodriguez</x:v>
      </x:c>
      <x:c r="F110" s="81" t="str">
        <x:v>Salesforce Error</x:v>
      </x:c>
      <x:c r="G110" s="81" t="str">
        <x:v>Purchasing Return</x:v>
      </x:c>
      <x:c r="H110" s="82" t="str">
        <x:v>BUG</x:v>
      </x:c>
      <x:c r="I110" s="82" t="str">
        <x:v>?</x:v>
      </x:c>
      <x:c r="J110" s="82" t="str">
        <x:v>Errors &amp; Just do its</x:v>
      </x:c>
      <x:c r="K110" s="82" t="str">
        <x:v>Sacha Pearce</x:v>
      </x:c>
      <x:c r="L110" s="83" t="n">
        <x:v>46105.77284722222</x:v>
      </x:c>
      <x:c r="M110" s="83" t="n">
        <x:v>46108.13233796296</x:v>
      </x:c>
      <x:c r="N110" s="84" t="n">
        <x:v>1</x:v>
      </x:c>
      <x:c r="O110" s="84" t="n">
        <x:v>0</x:v>
      </x:c>
      <x:c r="P110" s="84" t="n">
        <x:v>0</x:v>
      </x:c>
      <x:c r="Q110" s="84" t="n">
        <x:v>0</x:v>
      </x:c>
      <x:c r="R110" s="82" t="str">
        <x:f>IF(J110="Complete","Review - workbook says Complete","Active backlog")</x:f>
        <x:v>Active backlog</x:v>
      </x:c>
      <x:c r="S110" s="82" t="str">
        <x:v>System gives me an error when I try to create a return for 2 assets from PO 359986</x:v>
      </x:c>
    </x:row>
    <x:row r="111" ht="34" customHeight="1">
      <x:c r="A111" s="85" t="str">
        <x:v>00009302</x:v>
      </x:c>
      <x:c r="B111" s="82" t="str">
        <x:v>Request from Mike Wilson</x:v>
      </x:c>
      <x:c r="C111" s="81" t="str">
        <x:v>On Hold</x:v>
      </x:c>
      <x:c r="D111" s="81" t="str">
        <x:v>Medium</x:v>
      </x:c>
      <x:c r="E111" s="81" t="str">
        <x:v>Lisa Litviak</x:v>
      </x:c>
      <x:c r="F111" s="81" t="str">
        <x:v>Other</x:v>
      </x:c>
      <x:c r="G111" s="81" t="str">
        <x:v>Permission(s)/Permission Set</x:v>
      </x:c>
      <x:c r="H111" s="82" t="str">
        <x:v>Data</x:v>
      </x:c>
      <x:c r="I111" s="82" t="str">
        <x:v>?</x:v>
      </x:c>
      <x:c r="J111" s="82" t="str">
        <x:v>Errors &amp; Just do its</x:v>
      </x:c>
      <x:c r="K111" s="82" t="str">
        <x:v>Lisa Litviak</x:v>
      </x:c>
      <x:c r="L111" s="83" t="n">
        <x:v>45999.83453703704</x:v>
      </x:c>
      <x:c r="M111" s="83" t="n">
        <x:v>46108.16012731481</x:v>
      </x:c>
      <x:c r="N111" s="84" t="n">
        <x:v>2</x:v>
      </x:c>
      <x:c r="O111" s="84" t="n">
        <x:v>1</x:v>
      </x:c>
      <x:c r="P111" s="84" t="n">
        <x:v>0</x:v>
      </x:c>
      <x:c r="Q111" s="84" t="n">
        <x:v>0</x:v>
      </x:c>
      <x:c r="R111" s="82" t="str">
        <x:f>IF(J111="Complete","Review - workbook says Complete","Active backlog")</x:f>
        <x:v>Active backlog</x:v>
      </x:c>
      <x:c r="S111" s="82" t="str">
        <x:v>Hi Lisa,
Can you please create a Salesforce case for me? I’m moving forward with bringing on a Virtual Assistant, and I want to make sure we set everything up properly, cleanly, and securely.
My plan is to have the assistant added as a delegated email user on my MWilson@ProboMedical.com account so they can help manage inbound communications without duplicating or missing messages. If there’s a better or safer method than delegated access, I’m completely open to your guidance — my goal is simply to keep the workflow clean, secure, and efficient.
This new hire should significantly improve communication with my customers and free up more of my time to focus on sales calls, site visits, and customer follow-up.
I believe I’ll need both Salesforce Admin and IT involved in the setup, especially around permissions, email delegation, and system access, so please route accordingly.
For now, can we create a generic Salesforce user (e.g., “MWAssist”) as a placeholder while we finalize permissions and access levels?
Below is the access structure I’m recommending for review. Please feel free to add or remove anything you feel is appropriate based on security policy or workflow best practices:
________________________________________
Recommended Access for My Virtual Assistant
1. Full Create / Read / Edit Access (ONLY on records owned by Michael Wilson)
The VA should be able to fully work within any record that belongs to me, including the ability to create new items, update existing ones, and manage all supporting documentation.
This includes:
•	Opportunities
•	Accounts
•	Contacts
•	RMAs / Service Requests
•	Work Orders
•	SRI (Service Request Intake)
•	Pricing Requests
•	Demo Requests
•	Applications Requests
•	Quotes / Opportunity Line Items
o	Add products
o	Enter pricing
o	Adjust quantities
•	Tasks &amp; Activities
•	Notes
This level of access is necessary so they can update my pipeline, assist with customer follow-ups, check statuses, enter pricing, and help keep my workflow moving while I’m on the road.
________________________________________
2. View-Only Access for Other Reps’ Records
The VA should only have READ access to similar objects owned by other reps.
This is needed so they can:
•	Check whether a new lead is already assigned to another rep
•	Identify if an account already exists
•	Prevent duplicate opportunities
•	Understand context when reviewing RMAs, work orders, or customer activity
•	Monitor flow and overall status to support me effectively
They should NOT be able to modify or update any records owned by other reps.
________________________________________
3. Reports &amp; Dashboards (View Only)
They should be able to:
•	View dashboards
•	View reports
•	Monitor pipeline, shipping, RMAs, and other activity
They should NOT be able to:
•	Create new reports
•	Edit existing reports
•	Delete reports
•	Modify dashboards
________________________________________
4. Products &amp; Pricing
They should be able to:
•	View product catalog and pricebooks
•	Add products to MY opportunities
•	Manually enter sales pricing
•	Update quantities
This is necessary for preparing opportunities, quotes, and pricing requests.
________________________________________
5. Orders, Shipments &amp; RMAs
They should be able to view:
•	Orders
•	Shipment details
•	Tracking numbers
•	RMA status
•	Work Orders / Service records
And edit/update only the records associated with opportunities or accounts that I own.
________________________________________
6. Access That Should NOT Be Granted
For security, I recommend the VA NOT have access to:
•	Any ability to export data
•	Data Loader or mass upload tools
•	Delete permissions
•	Setup, admin, or configuration tools
•	API or connected app permissions
•	Ability to change ownership of records
•	Ability to edit other reps’ accounts, contacts, or opportunities
•	Ability to create or modify reports and dashboards
________________________________________
7. Security Requirements
•	MFA required
•	Export permissions disabled
•	Login and field activity tracking enabled
•	Use of a restricted VA profile or permission set
________________________________________
Please Note
These are my recommendations based on the responsibilities the VA will have assisting me with customer follow-ups, opportunity management, pricing, service requests, and shipping/RMA tracking.
Please feel free to add or subtract anything you feel appropriate based on company policy, security requirements, or workflow considerations. I’m happy to discuss this further or adjust as needed.
Thank you,</x:v>
      </x:c>
    </x:row>
    <x:row r="112" ht="34" customHeight="1">
      <x:c r="A112" s="85" t="str">
        <x:v>00009327</x:v>
      </x:c>
      <x:c r="B112" s="82" t="str">
        <x:v>creating new equipment</x:v>
      </x:c>
      <x:c r="C112" s="81" t="str">
        <x:v>On Hold</x:v>
      </x:c>
      <x:c r="D112" s="81" t="str">
        <x:v>Medium</x:v>
      </x:c>
      <x:c r="E112" s="81" t="str">
        <x:v>Jackielyn Fampo</x:v>
      </x:c>
      <x:c r="F112" s="81" t="str">
        <x:v>Other</x:v>
      </x:c>
      <x:c r="G112" s="81" t="str">
        <x:v>Equipment</x:v>
      </x:c>
      <x:c r="H112" s="82" t="str">
        <x:v>New/Edit Workflows, New/Edit Fields</x:v>
      </x:c>
      <x:c r="I112" s="82" t="str">
        <x:v>Requirement Gathering</x:v>
      </x:c>
      <x:c r="J112" s="82" t="str">
        <x:v>Projects (Major and Minor)</x:v>
      </x:c>
      <x:c r="K112" s="82" t="str">
        <x:v>Natalie Boger</x:v>
      </x:c>
      <x:c r="L112" s="83" t="n">
        <x:v>46007.10355324074</x:v>
      </x:c>
      <x:c r="M112" s="83" t="n">
        <x:v>46245.289722222224</x:v>
      </x:c>
      <x:c r="N112" s="84" t="n">
        <x:v>2</x:v>
      </x:c>
      <x:c r="O112" s="84" t="n">
        <x:v>1</x:v>
      </x:c>
      <x:c r="P112" s="84" t="n">
        <x:v>0</x:v>
      </x:c>
      <x:c r="Q112" s="84" t="n">
        <x:v>0</x:v>
      </x:c>
      <x:c r="R112" s="82" t="str">
        <x:f>IF(J112="Complete","Review - workbook says Complete","Active backlog")</x:f>
        <x:v>Active backlog</x:v>
      </x:c>
      <x:c r="S112" s="82" t="str">
        <x:v>when creating a new equipment, instead of "equipment number" it says "serial number". we cant use the equipment tag number when inputting the repair using that equipment because salesforce generates a new different number (different from equipment tag )</x:v>
      </x:c>
    </x:row>
    <x:row r="113" ht="34" customHeight="1">
      <x:c r="A113" s="85" t="str">
        <x:v>00009373</x:v>
      </x:c>
      <x:c r="B113" s="82" t="str">
        <x:v>Expired Contract Stage</x:v>
      </x:c>
      <x:c r="C113" s="81" t="str">
        <x:v>On Hold</x:v>
      </x:c>
      <x:c r="D113" s="81" t="str">
        <x:v>Medium</x:v>
      </x:c>
      <x:c r="E113" s="81" t="str">
        <x:v>Mindy Bender</x:v>
      </x:c>
      <x:c r="F113" s="81" t="str">
        <x:v>Salesforce Improvement</x:v>
      </x:c>
      <x:c r="G113" s="81" t="str">
        <x:v>Opportunity</x:v>
      </x:c>
      <x:c r="H113" s="82" t="str">
        <x:v>New/Edit Workflows, New/Edit Fields</x:v>
      </x:c>
      <x:c r="I113" s="82" t="str">
        <x:v>Design</x:v>
      </x:c>
      <x:c r="J113" s="82" t="str">
        <x:v>Projects (Major and Minor)</x:v>
      </x:c>
      <x:c r="K113" s="82" t="str">
        <x:v>Natalie Boger</x:v>
      </x:c>
      <x:c r="L113" s="83" t="n">
        <x:v>46015.17261574074</x:v>
      </x:c>
      <x:c r="M113" s="83" t="n">
        <x:v>46245.289189814815</x:v>
      </x:c>
      <x:c r="N113" s="84" t="n">
        <x:v>3</x:v>
      </x:c>
      <x:c r="O113" s="84" t="n">
        <x:v>2</x:v>
      </x:c>
      <x:c r="P113" s="84" t="n">
        <x:v>0</x:v>
      </x:c>
      <x:c r="Q113" s="84" t="n">
        <x:v>0</x:v>
      </x:c>
      <x:c r="R113" s="82" t="str">
        <x:f>IF(J113="Complete","Review - workbook says Complete","Active backlog")</x:f>
        <x:v>Active backlog</x:v>
      </x:c>
      <x:c r="S113" s="82" t="str">
        <x:v>Please create an Expired Contract Stage on the Service Sales Opportunity Record Type.
Closed Won/Closed Lost is not a good status for a contract that has expired.  The team is currently putting it back into Pending status again which isn't right either.</x:v>
      </x:c>
    </x:row>
    <x:row r="114" ht="34" customHeight="1">
      <x:c r="A114" s="85" t="str">
        <x:v>00009390</x:v>
      </x:c>
      <x:c r="B114" s="82" t="str">
        <x:v>Pricing Review &amp; Review Notes Fields</x:v>
      </x:c>
      <x:c r="C114" s="81" t="str">
        <x:v>On Hold</x:v>
      </x:c>
      <x:c r="D114" s="81" t="str">
        <x:v>Medium</x:v>
      </x:c>
      <x:c r="E114" s="81" t="str">
        <x:v>Richard Gerler</x:v>
      </x:c>
      <x:c r="F114" s="81" t="str">
        <x:v>Salesforce Improvement</x:v>
      </x:c>
      <x:c r="G114" s="81" t="str">
        <x:v>Product</x:v>
      </x:c>
      <x:c r="H114" s="82" t="str">
        <x:v>Validation Rules/Access</x:v>
      </x:c>
      <x:c r="I114" s="82" t="str">
        <x:v>Not Yet Started</x:v>
      </x:c>
      <x:c r="J114" s="82" t="str">
        <x:v>Projects (Major and Minor)</x:v>
      </x:c>
      <x:c r="K114" s="82" t="str">
        <x:v>Natalie Boger</x:v>
      </x:c>
      <x:c r="L114" s="83" t="n">
        <x:v>46021.79943287037</x:v>
      </x:c>
      <x:c r="M114" s="83" t="n">
        <x:v>46245.28765046296</x:v>
      </x:c>
      <x:c r="N114" s="84" t="n">
        <x:v>3</x:v>
      </x:c>
      <x:c r="O114" s="84" t="n">
        <x:v>2</x:v>
      </x:c>
      <x:c r="P114" s="84" t="n">
        <x:v>0</x:v>
      </x:c>
      <x:c r="Q114" s="84" t="n">
        <x:v>0</x:v>
      </x:c>
      <x:c r="R114" s="82" t="str">
        <x:f>IF(J114="Complete","Review - workbook says Complete","Active backlog")</x:f>
        <x:v>Active backlog</x:v>
      </x:c>
      <x:c r="S114" s="82" t="str">
        <x:v>The newly added Pricing Review and Pricing Review Notes fields on the Product page needs to be configured to enter information and click the box while on the product page, not in edit mode. Needs to be accessible to all users.</x:v>
      </x:c>
    </x:row>
    <x:row r="115" ht="34" customHeight="1">
      <x:c r="A115" s="85" t="str">
        <x:v>00009558</x:v>
      </x:c>
      <x:c r="B115" s="82" t="str">
        <x:v>Exchange RMA OPPS</x:v>
      </x:c>
      <x:c r="C115" s="81" t="str">
        <x:v>On Hold</x:v>
      </x:c>
      <x:c r="D115" s="81" t="str">
        <x:v>Medium</x:v>
      </x:c>
      <x:c r="E115" s="81" t="str">
        <x:v>Gretchen Scarborough</x:v>
      </x:c>
      <x:c r="F115" s="81" t="str">
        <x:v>Salesforce Improvement</x:v>
      </x:c>
      <x:c r="G115" s="81" t="str">
        <x:v>Opportunity</x:v>
      </x:c>
      <x:c r="H115" s="82" t="str">
        <x:v>New/Edit Workflows</x:v>
      </x:c>
      <x:c r="I115" s="82" t="str">
        <x:v>Design</x:v>
      </x:c>
      <x:c r="J115" s="82" t="str">
        <x:v>Projects (Major and Minor)</x:v>
      </x:c>
      <x:c r="K115" s="82" t="str">
        <x:v>Mindy Bender</x:v>
      </x:c>
      <x:c r="L115" s="83" t="n">
        <x:v>46052.97692129629</x:v>
      </x:c>
      <x:c r="M115" s="83" t="n">
        <x:v>46127.93372685185</x:v>
      </x:c>
      <x:c r="N115" s="84" t="n">
        <x:v>3</x:v>
      </x:c>
      <x:c r="O115" s="84" t="n">
        <x:v>2</x:v>
      </x:c>
      <x:c r="P115" s="84" t="n">
        <x:v>0</x:v>
      </x:c>
      <x:c r="Q115" s="84" t="n">
        <x:v>0</x:v>
      </x:c>
      <x:c r="R115" s="82" t="str">
        <x:f>IF(J115="Complete","Review - workbook says Complete","Active backlog")</x:f>
        <x:v>Active backlog</x:v>
      </x:c>
      <x:c r="S115" s="82" t="str">
        <x:v>When a PO is made with an exchange item  it automatically makes an Exchange OPP - can a program be made to automatically make exchange opps for all items on that po. Example if i order 5 of a part only 1 exchange opp is made and i need to have 5.</x:v>
      </x:c>
    </x:row>
    <x:row r="116" ht="34" customHeight="1">
      <x:c r="A116" s="85" t="str">
        <x:v>00009614</x:v>
      </x:c>
      <x:c r="B116" s="82" t="str">
        <x:v>AvaTax error for lines over 181</x:v>
      </x:c>
      <x:c r="C116" s="81" t="str">
        <x:v>On Hold</x:v>
      </x:c>
      <x:c r="D116" s="81" t="str">
        <x:v>Medium</x:v>
      </x:c>
      <x:c r="E116" s="81" t="str">
        <x:v>Krystie Green</x:v>
      </x:c>
      <x:c r="F116" s="81" t="str">
        <x:v>Salesforce Improvement</x:v>
      </x:c>
      <x:c r="G116" s="81" t="str">
        <x:v>AvaTax</x:v>
      </x:c>
      <x:c r="H116" s="82" t="str">
        <x:v>New/Edit Workflows</x:v>
      </x:c>
      <x:c r="I116" s="82" t="str">
        <x:v>Design</x:v>
      </x:c>
      <x:c r="J116" s="82" t="str">
        <x:v>Projects (Major and Minor)</x:v>
      </x:c>
      <x:c r="K116" s="82" t="str">
        <x:v>Mindy Bender</x:v>
      </x:c>
      <x:c r="L116" s="83" t="n">
        <x:v>46064.79446759259</x:v>
      </x:c>
      <x:c r="M116" s="83" t="n">
        <x:v>46134.838483796295</x:v>
      </x:c>
      <x:c r="N116" s="84" t="n">
        <x:v>4</x:v>
      </x:c>
      <x:c r="O116" s="84" t="n">
        <x:v>3</x:v>
      </x:c>
      <x:c r="P116" s="84" t="n">
        <x:v>0</x:v>
      </x:c>
      <x:c r="Q116" s="84" t="n">
        <x:v>0</x:v>
      </x:c>
      <x:c r="R116" s="82" t="str">
        <x:f>IF(J116="Complete","Review - workbook says Complete","Active backlog")</x:f>
        <x:v>Active backlog</x:v>
      </x:c>
      <x:c r="S116" s="82" t="str">
        <x:v>we need to partner with AvaTax to identify a long term solution that allows a single opp with 1 inv. Asking SalesOps/Steve to go back &amp; break a single opp into several is not practical from an operational standpoint</x:v>
      </x:c>
    </x:row>
    <x:row r="117" ht="34" customHeight="1">
      <x:c r="A117" s="85" t="str">
        <x:v>00009620</x:v>
      </x:c>
      <x:c r="B117" s="82" t="str">
        <x:v>Probe Repair Pricing - Universal Repair Activity Addition</x:v>
      </x:c>
      <x:c r="C117" s="81" t="str">
        <x:v>On Hold</x:v>
      </x:c>
      <x:c r="D117" s="81" t="str">
        <x:v>Medium</x:v>
      </x:c>
      <x:c r="E117" s="81" t="str">
        <x:v>Matt Mooney</x:v>
      </x:c>
      <x:c r="F117" s="81" t="str">
        <x:v>Other</x:v>
      </x:c>
      <x:c r="G117" s="81" t="str">
        <x:v>Product</x:v>
      </x:c>
      <x:c r="H117" s="82" t="str">
        <x:v>New/Edit Workflows, New/Edit Fields</x:v>
      </x:c>
      <x:c r="I117" s="82" t="str">
        <x:v>Requirement Gathering</x:v>
      </x:c>
      <x:c r="J117" s="82" t="str">
        <x:v>Projects (Major and Minor)</x:v>
      </x:c>
      <x:c r="K117" s="82" t="str"/>
      <x:c r="L117" s="83" t="n">
        <x:v>46065.03138888889</x:v>
      </x:c>
      <x:c r="M117" s="83" t="n">
        <x:v>46134.11708333333</x:v>
      </x:c>
      <x:c r="N117" s="84" t="n">
        <x:v>2</x:v>
      </x:c>
      <x:c r="O117" s="84" t="n">
        <x:v>1</x:v>
      </x:c>
      <x:c r="P117" s="84" t="n">
        <x:v>0</x:v>
      </x:c>
      <x:c r="Q117" s="84" t="n">
        <x:v>0</x:v>
      </x:c>
      <x:c r="R117" s="82" t="str">
        <x:f>IF(J117="Complete","Review - workbook says Complete","Active backlog")</x:f>
        <x:v>Active backlog</x:v>
      </x:c>
      <x:c r="S117" s="82" t="str">
        <x:v>Please add a "Loaner Rental Fee" to the product for ultrasound probes.  This would look just like a repair activity</x:v>
      </x:c>
    </x:row>
    <x:row r="118" ht="34" customHeight="1">
      <x:c r="A118" s="85" t="str">
        <x:v>00009634</x:v>
      </x:c>
      <x:c r="B118" s="82" t="str">
        <x:v>Product repair required fields.</x:v>
      </x:c>
      <x:c r="C118" s="81" t="str">
        <x:v>On Hold</x:v>
      </x:c>
      <x:c r="D118" s="81" t="str">
        <x:v>Medium</x:v>
      </x:c>
      <x:c r="E118" s="81" t="str">
        <x:v>Kyle Kast</x:v>
      </x:c>
      <x:c r="F118" s="81" t="str">
        <x:v>Salesforce Improvement</x:v>
      </x:c>
      <x:c r="G118" s="81" t="str">
        <x:v>Product Repair</x:v>
      </x:c>
      <x:c r="H118" s="82" t="str">
        <x:v>Validation Rules/Access</x:v>
      </x:c>
      <x:c r="I118" s="82" t="str">
        <x:v>Requirement Gathering</x:v>
      </x:c>
      <x:c r="J118" s="82" t="str">
        <x:v>Projects (Major and Minor)</x:v>
      </x:c>
      <x:c r="K118" s="82" t="str">
        <x:v>Mindy Bender</x:v>
      </x:c>
      <x:c r="L118" s="83" t="n">
        <x:v>46066.968148148146</x:v>
      </x:c>
      <x:c r="M118" s="83" t="n">
        <x:v>46127.93413194444</x:v>
      </x:c>
      <x:c r="N118" s="84" t="n">
        <x:v>2</x:v>
      </x:c>
      <x:c r="O118" s="84" t="n">
        <x:v>2</x:v>
      </x:c>
      <x:c r="P118" s="84" t="n">
        <x:v>1</x:v>
      </x:c>
      <x:c r="Q118" s="84" t="n">
        <x:v>0</x:v>
      </x:c>
      <x:c r="R118" s="82" t="str">
        <x:f>IF(J118="Complete","Review - workbook says Complete","Active backlog")</x:f>
        <x:v>Active backlog</x:v>
      </x:c>
      <x:c r="S118" s="82" t="str">
        <x:v>Could we make the "Repair Result" and " Type of repair" fields required?</x:v>
      </x:c>
    </x:row>
    <x:row r="119" ht="34" customHeight="1">
      <x:c r="A119" s="85" t="str">
        <x:v>00009899</x:v>
      </x:c>
      <x:c r="B119" s="82" t="str">
        <x:v>Rental invoices start with R- instead of the traditional I-</x:v>
      </x:c>
      <x:c r="C119" s="81" t="str">
        <x:v>On Hold</x:v>
      </x:c>
      <x:c r="D119" s="81" t="str">
        <x:v>Medium</x:v>
      </x:c>
      <x:c r="E119" s="81" t="str">
        <x:v>Krystie Green</x:v>
      </x:c>
      <x:c r="F119" s="81" t="str">
        <x:v>Salesforce Improvement</x:v>
      </x:c>
      <x:c r="G119" s="81" t="str">
        <x:v>Invoice</x:v>
      </x:c>
      <x:c r="H119" s="82" t="str">
        <x:v>New Record Types</x:v>
      </x:c>
      <x:c r="I119" s="82" t="str">
        <x:v>Design</x:v>
      </x:c>
      <x:c r="J119" s="82" t="str">
        <x:v>Projects (Major and Minor)</x:v>
      </x:c>
      <x:c r="K119" s="82" t="str">
        <x:v>Mindy Bender</x:v>
      </x:c>
      <x:c r="L119" s="83" t="n">
        <x:v>46127.16594907407</x:v>
      </x:c>
      <x:c r="M119" s="83" t="n">
        <x:v>46214.009351851855</x:v>
      </x:c>
      <x:c r="N119" s="84" t="n">
        <x:v>5</x:v>
      </x:c>
      <x:c r="O119" s="84" t="n">
        <x:v>2</x:v>
      </x:c>
      <x:c r="P119" s="84" t="n">
        <x:v>0</x:v>
      </x:c>
      <x:c r="Q119" s="84" t="n">
        <x:v>0</x:v>
      </x:c>
      <x:c r="R119" s="82" t="str">
        <x:f>IF(J119="Complete","Review - workbook says Complete","Active backlog")</x:f>
        <x:v>Active backlog</x:v>
      </x:c>
      <x:c r="S119" s="82" t="str">
        <x:v>Rental invoices to start with "R-" instead of "I-" to properly identify rental invoices for shared customers. Opportunity Record Type:
Rental Opportunity. Is it possible to have the rental invoices default to Net 10 payment terms (not the customer level as they can also order system sales).</x:v>
      </x:c>
    </x:row>
    <x:row r="120" ht="34" customHeight="1">
      <x:c r="A120" s="85" t="str">
        <x:v>00009944</x:v>
      </x:c>
      <x:c r="B120" s="82" t="str">
        <x:v>Default Shipping Account</x:v>
      </x:c>
      <x:c r="C120" s="81" t="str">
        <x:v>On Hold</x:v>
      </x:c>
      <x:c r="D120" s="81" t="str">
        <x:v>Medium</x:v>
      </x:c>
      <x:c r="E120" s="81" t="str">
        <x:v>Dawn Boyd</x:v>
      </x:c>
      <x:c r="F120" s="81" t="str">
        <x:v>Salesforce Improvement</x:v>
      </x:c>
      <x:c r="G120" s="81" t="str">
        <x:v>Account</x:v>
      </x:c>
      <x:c r="H120" s="82" t="str">
        <x:v>New/Edit Workflows</x:v>
      </x:c>
      <x:c r="I120" s="82" t="str">
        <x:v>Design</x:v>
      </x:c>
      <x:c r="J120" s="82" t="str">
        <x:v>Projects (Major and Minor)</x:v>
      </x:c>
      <x:c r="K120" s="82" t="str">
        <x:v>Mindy Bender</x:v>
      </x:c>
      <x:c r="L120" s="83" t="n">
        <x:v>46135.01520833333</x:v>
      </x:c>
      <x:c r="M120" s="83" t="n">
        <x:v>46137.038518518515</x:v>
      </x:c>
      <x:c r="N120" s="84" t="n">
        <x:v>3</x:v>
      </x:c>
      <x:c r="O120" s="84" t="n">
        <x:v>3</x:v>
      </x:c>
      <x:c r="P120" s="84" t="n">
        <x:v>2</x:v>
      </x:c>
      <x:c r="Q120" s="84" t="n">
        <x:v>0</x:v>
      </x:c>
      <x:c r="R120" s="82" t="str">
        <x:f>IF(J120="Complete","Review - workbook says Complete","Active backlog")</x:f>
        <x:v>Active backlog</x:v>
      </x:c>
      <x:c r="S120" s="82" t="str">
        <x:v>UPS Option for Customer default shipping account</x:v>
      </x:c>
    </x:row>
    <x:row r="121" ht="34" customHeight="1">
      <x:c r="A121" s="85" t="str">
        <x:v>00010115</x:v>
      </x:c>
      <x:c r="B121" s="82" t="str">
        <x:v>Missing Exchange Needed Flag</x:v>
      </x:c>
      <x:c r="C121" s="81" t="str">
        <x:v>On Hold</x:v>
      </x:c>
      <x:c r="D121" s="81" t="str">
        <x:v>Medium</x:v>
      </x:c>
      <x:c r="E121" s="81" t="str">
        <x:v>Kyla Frey</x:v>
      </x:c>
      <x:c r="F121" s="81" t="str">
        <x:v>Salesforce Improvement</x:v>
      </x:c>
      <x:c r="G121" s="81" t="str">
        <x:v>Product</x:v>
      </x:c>
      <x:c r="H121" s="82" t="str">
        <x:v>New/Edit Workflows, New/Edit Fields</x:v>
      </x:c>
      <x:c r="I121" s="82" t="str">
        <x:v>Requirement Gathering</x:v>
      </x:c>
      <x:c r="J121" s="82" t="str">
        <x:v>Projects (Major and Minor)</x:v>
      </x:c>
      <x:c r="K121" s="82" t="str">
        <x:v>Mindy Bender</x:v>
      </x:c>
      <x:c r="L121" s="83" t="n">
        <x:v>46174.83605324074</x:v>
      </x:c>
      <x:c r="M121" s="83" t="n">
        <x:v>46176.08862268519</x:v>
      </x:c>
      <x:c r="N121" s="84" t="n">
        <x:v>3</x:v>
      </x:c>
      <x:c r="O121" s="84" t="n">
        <x:v>2</x:v>
      </x:c>
      <x:c r="P121" s="84" t="n">
        <x:v>0</x:v>
      </x:c>
      <x:c r="Q121" s="84" t="n">
        <x:v>0</x:v>
      </x:c>
      <x:c r="R121" s="82" t="str">
        <x:f>IF(J121="Complete","Review - workbook says Complete","Active backlog")</x:f>
        <x:v>Active backlog</x:v>
      </x:c>
      <x:c r="S121" s="82" t="str">
        <x:v>Being able to mark a product as an exchange needed would be extremely helpful so when things are sold they know to request a core back from customer.</x:v>
      </x:c>
    </x:row>
    <x:row r="122" ht="34" customHeight="1">
      <x:c r="A122" s="85" t="str">
        <x:v>00010303</x:v>
      </x:c>
      <x:c r="B122" s="82" t="str">
        <x:v>customer repairs are getting automatically purchase approved</x:v>
      </x:c>
      <x:c r="C122" s="81" t="str">
        <x:v>On Hold</x:v>
      </x:c>
      <x:c r="D122" s="81" t="str">
        <x:v>Medium</x:v>
      </x:c>
      <x:c r="E122" s="81" t="str">
        <x:v>Matt Mooney</x:v>
      </x:c>
      <x:c r="F122" s="81" t="str">
        <x:v>Administrative (Reports &amp; Dashboards)</x:v>
      </x:c>
      <x:c r="G122" s="81" t="str">
        <x:v>Asset2</x:v>
      </x:c>
      <x:c r="H122" s="82" t="str">
        <x:v>New/Edit Workflows</x:v>
      </x:c>
      <x:c r="I122" s="82" t="str">
        <x:v>Quality/Compliance</x:v>
      </x:c>
      <x:c r="J122" s="82" t="str">
        <x:v>Complete</x:v>
      </x:c>
      <x:c r="K122" s="82" t="str">
        <x:v>Matt Mooney</x:v>
      </x:c>
      <x:c r="L122" s="83" t="n">
        <x:v>46211.061111111114</x:v>
      </x:c>
      <x:c r="M122" s="83" t="n">
        <x:v>46258.45039351852</x:v>
      </x:c>
      <x:c r="N122" s="84" t="n">
        <x:v>4</x:v>
      </x:c>
      <x:c r="O122" s="84" t="n">
        <x:v>3</x:v>
      </x:c>
      <x:c r="P122" s="84" t="n">
        <x:v>0</x:v>
      </x:c>
      <x:c r="Q122" s="84" t="n">
        <x:v>0</x:v>
      </x:c>
      <x:c r="R122" s="82" t="str">
        <x:f>IF(J122="Complete","Review - workbook says Complete","Active backlog")</x:f>
        <x:v>Review - workbook says Complete</x:v>
      </x:c>
      <x:c r="S122" s="82" t="str">
        <x:v>We came across an issue today and cannot figure it out.  This report shows probes that are customer repairs.  But it appears they are being purchase approved when the decontamination box is checked.    Can you look into what’s happening?  The primary issu</x:v>
      </x:c>
    </x:row>
    <x:row r="123" ht="34" customHeight="1">
      <x:c r="A123" s="85" t="str">
        <x:v>00010555</x:v>
      </x:c>
      <x:c r="B123" s="82" t="str">
        <x:v>Return Label Tracking  - woudl be great if can do this in conjunction with Case 00010017</x:v>
      </x:c>
      <x:c r="C123" s="81" t="str">
        <x:v>On Hold</x:v>
      </x:c>
      <x:c r="D123" s="81" t="str">
        <x:v>Medium</x:v>
      </x:c>
      <x:c r="E123" s="81" t="str">
        <x:v>Matt Mooney</x:v>
      </x:c>
      <x:c r="F123" s="81" t="str">
        <x:v>Salesforce Improvement</x:v>
      </x:c>
      <x:c r="G123" s="81" t="str">
        <x:v>Opportunity</x:v>
      </x:c>
      <x:c r="H123" s="82" t="str">
        <x:v>New/Edit Workflows</x:v>
      </x:c>
      <x:c r="I123" s="82" t="str">
        <x:v>Not Yet Started</x:v>
      </x:c>
      <x:c r="J123" s="82" t="str">
        <x:v>Projects (Major and Minor)</x:v>
      </x:c>
      <x:c r="K123" s="82" t="str"/>
      <x:c r="L123" s="83" t="n">
        <x:v>46244.85358796296</x:v>
      </x:c>
      <x:c r="M123" s="83" t="n">
        <x:v>46246.809375</x:v>
      </x:c>
      <x:c r="N123" s="84" t="n">
        <x:v>2</x:v>
      </x:c>
      <x:c r="O123" s="84" t="n">
        <x:v>1</x:v>
      </x:c>
      <x:c r="P123" s="84" t="n">
        <x:v>0</x:v>
      </x:c>
      <x:c r="Q123" s="84" t="n">
        <x:v>0</x:v>
      </x:c>
      <x:c r="R123" s="82" t="str">
        <x:f>IF(J123="Complete","Review - workbook says Complete","Active backlog")</x:f>
        <x:v>Active backlog</x:v>
      </x:c>
      <x:c r="S123" s="82" t="str">
        <x:v>When we ship probes for sale on exchange or return a probe repair that has loaner, we usually include a return label for return of core or loaner to probo.  Is it possible to have that return tracking # added to the shipment notification e-mail from SFDC</x:v>
      </x:c>
    </x:row>
  </x:sheetData>
  <x:mergeCells>
    <x:mergeCell ref="A1:S1"/>
    <x:mergeCell ref="A2:S2"/>
    <x:mergeCell ref="A4:B4"/>
    <x:mergeCell ref="A5:B5"/>
    <x:mergeCell ref="D4:E4"/>
    <x:mergeCell ref="D5:E5"/>
    <x:mergeCell ref="G4:H4"/>
    <x:mergeCell ref="G5:H5"/>
    <x:mergeCell ref="J4:K4"/>
    <x:mergeCell ref="J5:K5"/>
    <x:mergeCell ref="M4:N4"/>
    <x:mergeCell ref="M5:N5"/>
    <x:mergeCell ref="P4:Q4"/>
    <x:mergeCell ref="P5:Q5"/>
  </x:mergeCells>
  <x:conditionalFormatting sqref="C8:C123">
    <x:cfRule type="containsText" dxfId="0" priority="1" operator="containsText" text="Claimed"/>
    <x:cfRule type="containsText" dxfId="1" priority="2" operator="containsText" text="New"/>
    <x:cfRule type="containsText" dxfId="2" priority="3" operator="containsText" text="On Hold"/>
    <x:cfRule type="containsText" dxfId="3" priority="4" operator="containsText" text="In progress"/>
  </x:conditionalFormatting>
  <x:conditionalFormatting sqref="D8:D123">
    <x:cfRule type="containsText" dxfId="4" priority="5" operator="containsText" text="High"/>
  </x:conditionalFormatting>
  <x:conditionalFormatting sqref="R8:R123">
    <x:cfRule type="containsText" dxfId="5" priority="6" operator="containsText" text="Review"/>
  </x:conditionalFormatting>
  <x:pageMargins left="0.7" right="0.7" top="0.75" bottom="0.75" header="0.3" footer="0.3"/>
  <x:tableParts count="1">
    <x:tablePart xmlns:r="http://schemas.openxmlformats.org/officeDocument/2006/relationships" r:id="R35bbcfbbc69443da"/>
  </x:tableParts>
</x:worksheet>
</file>